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<sst xmlns="http://schemas.openxmlformats.org/spreadsheetml/2006/main" count="9" uniqueCount="8">
  <si>
    <t xml:space="preserve">№</t>
  </si>
  <si>
    <t xml:space="preserve">a</t>
  </si>
  <si>
    <t xml:space="preserve">A</t>
  </si>
  <si>
    <t xml:space="preserve">абсолютная погр, </t>
  </si>
  <si>
    <t xml:space="preserve">относительная погр,</t>
  </si>
  <si>
    <t xml:space="preserve">Максимальная абсолютная погрешность</t>
  </si>
  <si>
    <t xml:space="preserve">при №</t>
  </si>
  <si>
    <t xml:space="preserve">Максимальная относительная погрешность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</si>
</sst>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86400</xdr:colOff>
      <xdr:row>23</xdr:row>
      <xdr:rowOff>59400</xdr:rowOff>
    </xdr:from>
    <xdr:to>
      <xdr:col>3</xdr:col>
      <xdr:colOff>737640</xdr:colOff>
      <xdr:row>23</xdr:row>
      <xdr:rowOff>404640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3537000" y="4714560"/>
          <a:ext cx="651240" cy="345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37080</xdr:colOff>
      <xdr:row>24</xdr:row>
      <xdr:rowOff>0</xdr:rowOff>
    </xdr:from>
    <xdr:to>
      <xdr:col>3</xdr:col>
      <xdr:colOff>606960</xdr:colOff>
      <xdr:row>24</xdr:row>
      <xdr:rowOff>392760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3487680" y="5081400"/>
          <a:ext cx="569880" cy="392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32" activeCellId="0" sqref="E31:E3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.74"/>
    <col collapsed="false" customWidth="true" hidden="false" outlineLevel="0" max="2" min="2" style="2" width="10.17"/>
    <col collapsed="false" customWidth="true" hidden="false" outlineLevel="0" max="3" min="3" style="0" width="26.22"/>
    <col collapsed="false" customWidth="true" hidden="false" outlineLevel="0" max="4" min="4" style="0" width="28.79"/>
    <col collapsed="false" customWidth="true" hidden="false" outlineLevel="0" max="5" min="5" style="0" width="31.13"/>
    <col collapsed="false" customWidth="true" hidden="false" outlineLevel="0" max="6" min="6" style="0" width="11.48"/>
  </cols>
  <sheetData>
    <row r="1" customFormat="false" ht="36.55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customFormat="false" ht="15" hidden="false" customHeight="false" outlineLevel="0" collapsed="false">
      <c r="A2" s="5" t="n">
        <v>17</v>
      </c>
      <c r="B2" s="5" t="n">
        <v>1.52</v>
      </c>
      <c r="C2" s="5" t="n">
        <v>1.5237</v>
      </c>
      <c r="D2" s="5" t="n">
        <f aca="false">ABS(C2-B2)</f>
        <v>0.00370000000000004</v>
      </c>
      <c r="E2" s="5" t="n">
        <f aca="false">D2/ABS(B2)</f>
        <v>0.00243421052631581</v>
      </c>
    </row>
    <row r="3" customFormat="false" ht="15" hidden="false" customHeight="false" outlineLevel="0" collapsed="false">
      <c r="A3" s="5" t="n">
        <v>18</v>
      </c>
      <c r="B3" s="5" t="n">
        <v>1.55</v>
      </c>
      <c r="C3" s="5" t="n">
        <v>1.5569</v>
      </c>
      <c r="D3" s="5" t="n">
        <f aca="false">ABS(C3-B3)</f>
        <v>0.00689999999999991</v>
      </c>
      <c r="E3" s="5" t="n">
        <f aca="false">D3/ABS(B3)</f>
        <v>0.00445161290322575</v>
      </c>
    </row>
    <row r="4" customFormat="false" ht="15" hidden="false" customHeight="false" outlineLevel="0" collapsed="false">
      <c r="A4" s="5" t="n">
        <v>19</v>
      </c>
      <c r="B4" s="5" t="n">
        <v>1.58</v>
      </c>
      <c r="C4" s="5" t="n">
        <v>1.5743</v>
      </c>
      <c r="D4" s="5" t="n">
        <f aca="false">ABS(C4-B4)</f>
        <v>0.00570000000000004</v>
      </c>
      <c r="E4" s="5" t="n">
        <f aca="false">D4/ABS(B4)</f>
        <v>0.00360759493670889</v>
      </c>
    </row>
    <row r="5" customFormat="false" ht="15" hidden="false" customHeight="false" outlineLevel="0" collapsed="false">
      <c r="A5" s="5" t="n">
        <v>20</v>
      </c>
      <c r="B5" s="5" t="n">
        <v>1.59</v>
      </c>
      <c r="C5" s="5" t="n">
        <v>1.5831</v>
      </c>
      <c r="D5" s="5" t="n">
        <f aca="false">ABS(C5-B5)</f>
        <v>0.00690000000000013</v>
      </c>
      <c r="E5" s="5" t="n">
        <f aca="false">D5/ABS(B5)</f>
        <v>0.00433962264150951</v>
      </c>
    </row>
    <row r="6" customFormat="false" ht="15" hidden="false" customHeight="false" outlineLevel="0" collapsed="false">
      <c r="A6" s="5" t="n">
        <v>21</v>
      </c>
      <c r="B6" s="5" t="n">
        <v>1.61</v>
      </c>
      <c r="C6" s="5" t="n">
        <v>1.6149</v>
      </c>
      <c r="D6" s="5" t="n">
        <f aca="false">ABS(C6-B6)</f>
        <v>0.0048999999999999</v>
      </c>
      <c r="E6" s="5" t="n">
        <f aca="false">D6/ABS(B6)</f>
        <v>0.00304347826086951</v>
      </c>
    </row>
    <row r="7" customFormat="false" ht="15" hidden="false" customHeight="false" outlineLevel="0" collapsed="false">
      <c r="A7" s="5" t="n">
        <v>22</v>
      </c>
      <c r="B7" s="5" t="n">
        <v>1.65</v>
      </c>
      <c r="C7" s="5" t="n">
        <v>1.6483</v>
      </c>
      <c r="D7" s="5" t="n">
        <f aca="false">ABS(C7-B7)</f>
        <v>0.00169999999999981</v>
      </c>
      <c r="E7" s="5" t="n">
        <f aca="false">D7/ABS(B7)</f>
        <v>0.00103030303030292</v>
      </c>
    </row>
    <row r="8" customFormat="false" ht="15" hidden="false" customHeight="false" outlineLevel="0" collapsed="false">
      <c r="A8" s="5" t="n">
        <v>23</v>
      </c>
      <c r="B8" s="5" t="n">
        <v>1.67</v>
      </c>
      <c r="C8" s="5" t="n">
        <v>1.6758</v>
      </c>
      <c r="D8" s="5" t="n">
        <f aca="false">ABS(C8-B8)</f>
        <v>0.00580000000000003</v>
      </c>
      <c r="E8" s="5" t="n">
        <f aca="false">D8/ABS(B8)</f>
        <v>0.00347305389221559</v>
      </c>
    </row>
    <row r="9" customFormat="false" ht="15" hidden="false" customHeight="false" outlineLevel="0" collapsed="false">
      <c r="A9" s="5" t="n">
        <v>24</v>
      </c>
      <c r="B9" s="5" t="n">
        <v>1.7</v>
      </c>
      <c r="C9" s="5" t="n">
        <v>1.6942</v>
      </c>
      <c r="D9" s="5" t="n">
        <f aca="false">ABS(C9-B9)</f>
        <v>0.00580000000000003</v>
      </c>
      <c r="E9" s="5" t="n">
        <f aca="false">D9/ABS(B9)</f>
        <v>0.00341176470588237</v>
      </c>
    </row>
    <row r="10" customFormat="false" ht="15" hidden="false" customHeight="false" outlineLevel="0" collapsed="false">
      <c r="A10" s="5" t="n">
        <v>25</v>
      </c>
      <c r="B10" s="5" t="n">
        <v>1.71</v>
      </c>
      <c r="C10" s="5" t="n">
        <v>1.7184</v>
      </c>
      <c r="D10" s="5" t="n">
        <f aca="false">ABS(C10-B10)</f>
        <v>0.00839999999999996</v>
      </c>
      <c r="E10" s="5" t="n">
        <f aca="false">D10/ABS(B10)</f>
        <v>0.00491228070175436</v>
      </c>
    </row>
    <row r="11" customFormat="false" ht="15" hidden="false" customHeight="false" outlineLevel="0" collapsed="false">
      <c r="A11" s="5" t="n">
        <v>26</v>
      </c>
      <c r="B11" s="5" t="n">
        <v>1.73</v>
      </c>
      <c r="C11" s="5" t="n">
        <v>1.7315</v>
      </c>
      <c r="D11" s="5" t="n">
        <f aca="false">ABS(C11-B11)</f>
        <v>0.00150000000000006</v>
      </c>
      <c r="E11" s="5" t="n">
        <f aca="false">D11/ABS(B11)</f>
        <v>0.00086705202312142</v>
      </c>
    </row>
    <row r="12" customFormat="false" ht="15" hidden="false" customHeight="false" outlineLevel="0" collapsed="false">
      <c r="A12" s="5" t="n">
        <v>27</v>
      </c>
      <c r="B12" s="5" t="n">
        <v>1.76</v>
      </c>
      <c r="C12" s="5" t="n">
        <v>1.7547</v>
      </c>
      <c r="D12" s="5" t="n">
        <f aca="false">ABS(C12-B12)</f>
        <v>0.00530000000000008</v>
      </c>
      <c r="E12" s="5" t="n">
        <f aca="false">D12/ABS(B12)</f>
        <v>0.00301136363636368</v>
      </c>
    </row>
    <row r="13" customFormat="false" ht="15" hidden="false" customHeight="false" outlineLevel="0" collapsed="false">
      <c r="A13" s="5" t="n">
        <v>28</v>
      </c>
      <c r="B13" s="5" t="n">
        <v>1.8</v>
      </c>
      <c r="C13" s="5" t="n">
        <v>1.7914</v>
      </c>
      <c r="D13" s="5" t="n">
        <f aca="false">ABS(C13-B13)</f>
        <v>0.00859999999999994</v>
      </c>
      <c r="E13" s="5" t="n">
        <f aca="false">D13/ABS(B13)</f>
        <v>0.00477777777777774</v>
      </c>
    </row>
    <row r="14" customFormat="false" ht="15" hidden="false" customHeight="false" outlineLevel="0" collapsed="false">
      <c r="A14" s="5" t="n">
        <v>29</v>
      </c>
      <c r="B14" s="5" t="n">
        <v>1.81</v>
      </c>
      <c r="C14" s="5" t="n">
        <v>1.8269</v>
      </c>
      <c r="D14" s="5" t="n">
        <f aca="false">ABS(C14-B14)</f>
        <v>0.0168999999999999</v>
      </c>
      <c r="E14" s="5" t="n">
        <f aca="false">D14/ABS(B14)</f>
        <v>0.00933701657458559</v>
      </c>
    </row>
    <row r="15" customFormat="false" ht="15" hidden="false" customHeight="false" outlineLevel="0" collapsed="false">
      <c r="A15" s="5" t="n">
        <v>30</v>
      </c>
      <c r="B15" s="5" t="n">
        <v>1.85</v>
      </c>
      <c r="C15" s="5" t="n">
        <v>1.8473</v>
      </c>
      <c r="D15" s="5" t="n">
        <f aca="false">ABS(C15-B15)</f>
        <v>0.00270000000000015</v>
      </c>
      <c r="E15" s="5" t="n">
        <f aca="false">D15/ABS(B15)</f>
        <v>0.00145945945945954</v>
      </c>
    </row>
    <row r="16" customFormat="false" ht="15" hidden="false" customHeight="false" outlineLevel="0" collapsed="false">
      <c r="A16" s="5" t="n">
        <v>31</v>
      </c>
      <c r="B16" s="5" t="n">
        <v>1.87</v>
      </c>
      <c r="C16" s="5" t="n">
        <v>1.8621</v>
      </c>
      <c r="D16" s="5" t="n">
        <f aca="false">ABS(C16-B16)</f>
        <v>0.00790000000000002</v>
      </c>
      <c r="E16" s="5" t="n">
        <f aca="false">D16/ABS(B16)</f>
        <v>0.00422459893048129</v>
      </c>
    </row>
    <row r="17" customFormat="false" ht="15" hidden="false" customHeight="false" outlineLevel="0" collapsed="false">
      <c r="A17" s="5" t="n">
        <v>32</v>
      </c>
      <c r="B17" s="5" t="n">
        <v>1.91</v>
      </c>
      <c r="C17" s="5" t="n">
        <v>1.9001</v>
      </c>
      <c r="D17" s="5" t="n">
        <f aca="false">ABS(C17-B17)</f>
        <v>0.00990000000000002</v>
      </c>
      <c r="E17" s="5" t="n">
        <f aca="false">D17/ABS(B17)</f>
        <v>0.00518324607329844</v>
      </c>
    </row>
    <row r="18" customFormat="false" ht="15" hidden="false" customHeight="false" outlineLevel="0" collapsed="false">
      <c r="A18" s="5" t="n">
        <v>33</v>
      </c>
      <c r="B18" s="5" t="n">
        <v>1.92</v>
      </c>
      <c r="C18" s="5" t="n">
        <v>1.9213</v>
      </c>
      <c r="D18" s="5" t="n">
        <f aca="false">ABS(C18-B18)</f>
        <v>0.00130000000000008</v>
      </c>
      <c r="E18" s="5" t="n">
        <f aca="false">D18/ABS(B18)</f>
        <v>0.000677083333333374</v>
      </c>
    </row>
    <row r="19" customFormat="false" ht="15" hidden="false" customHeight="false" outlineLevel="0" collapsed="false">
      <c r="A19" s="5" t="n">
        <v>34</v>
      </c>
      <c r="B19" s="5" t="n">
        <v>1.93</v>
      </c>
      <c r="C19" s="5" t="n">
        <v>1.9359</v>
      </c>
      <c r="D19" s="5" t="n">
        <f aca="false">ABS(C19-B19)</f>
        <v>0.00590000000000002</v>
      </c>
      <c r="E19" s="5" t="n">
        <f aca="false">D19/ABS(B19)</f>
        <v>0.00305699481865286</v>
      </c>
    </row>
    <row r="20" customFormat="false" ht="15" hidden="false" customHeight="false" outlineLevel="0" collapsed="false">
      <c r="A20" s="5" t="n">
        <v>35</v>
      </c>
      <c r="B20" s="5" t="n">
        <v>1.96</v>
      </c>
      <c r="C20" s="5" t="n">
        <v>1.9582</v>
      </c>
      <c r="D20" s="5" t="n">
        <f aca="false">ABS(C20-B20)</f>
        <v>0.00180000000000002</v>
      </c>
      <c r="E20" s="5" t="n">
        <f aca="false">D20/ABS(B20)</f>
        <v>0.000918367346938788</v>
      </c>
    </row>
    <row r="21" customFormat="false" ht="15" hidden="false" customHeight="false" outlineLevel="0" collapsed="false">
      <c r="A21" s="5" t="n">
        <v>36</v>
      </c>
      <c r="B21" s="5" t="n">
        <v>1.98</v>
      </c>
      <c r="C21" s="5" t="n">
        <v>1.9872</v>
      </c>
      <c r="D21" s="5" t="n">
        <f aca="false">ABS(C21-B21)</f>
        <v>0.0072000000000001</v>
      </c>
      <c r="E21" s="5" t="n">
        <f aca="false">D21/ABS(B21)</f>
        <v>0.00363636363636368</v>
      </c>
    </row>
    <row r="22" customFormat="false" ht="15" hidden="false" customHeight="false" outlineLevel="0" collapsed="false">
      <c r="A22" s="0"/>
      <c r="B22" s="0"/>
    </row>
    <row r="23" customFormat="false" ht="15" hidden="false" customHeight="false" outlineLevel="0" collapsed="false">
      <c r="A23" s="0"/>
      <c r="B23" s="0"/>
    </row>
    <row r="24" customFormat="false" ht="33.55" hidden="false" customHeight="false" outlineLevel="0" collapsed="false">
      <c r="A24" s="0"/>
      <c r="B24" s="0"/>
      <c r="C24" s="6" t="s">
        <v>5</v>
      </c>
      <c r="D24" s="7" t="n">
        <f aca="false">MAX(D2:D21)</f>
        <v>0.0168999999999999</v>
      </c>
      <c r="E24" s="8" t="s">
        <v>6</v>
      </c>
      <c r="F24" s="5" t="n">
        <f aca="false">INDEX(A2:A21,MATCH(D24,D2:D21,0))</f>
        <v>29</v>
      </c>
    </row>
    <row r="25" customFormat="false" ht="33.55" hidden="false" customHeight="false" outlineLevel="0" collapsed="false">
      <c r="A25" s="0"/>
      <c r="B25" s="0"/>
      <c r="C25" s="6" t="s">
        <v>7</v>
      </c>
      <c r="D25" s="7" t="n">
        <f aca="false">MAX(E2:E21)</f>
        <v>0.00933701657458559</v>
      </c>
      <c r="E25" s="8" t="s">
        <v>6</v>
      </c>
      <c r="F25" s="5" t="n">
        <f aca="false">INDEX(A2:A21,MATCH(D25,E2:E21,0))</f>
        <v>29</v>
      </c>
    </row>
    <row r="26" customFormat="false" ht="15" hidden="false" customHeight="false" outlineLevel="0" collapsed="false">
      <c r="A26" s="0"/>
      <c r="B26" s="0"/>
    </row>
    <row r="27" customFormat="false" ht="15" hidden="false" customHeight="false" outlineLevel="0" collapsed="false">
      <c r="A27" s="0"/>
      <c r="B27" s="0"/>
    </row>
    <row r="28" customFormat="false" ht="15" hidden="false" customHeight="false" outlineLevel="0" collapsed="false">
      <c r="A28" s="0"/>
      <c r="B28" s="0"/>
    </row>
    <row r="29" customFormat="false" ht="15" hidden="false" customHeight="false" outlineLevel="0" collapsed="false">
      <c r="A29" s="0"/>
      <c r="B29" s="0"/>
    </row>
    <row r="30" customFormat="false" ht="15" hidden="false" customHeight="false" outlineLevel="0" collapsed="false">
      <c r="A30" s="0"/>
      <c r="B30" s="0"/>
    </row>
    <row r="31" customFormat="false" ht="15" hidden="false" customHeight="false" outlineLevel="0" collapsed="false">
      <c r="A31" s="0"/>
      <c r="B31" s="0"/>
    </row>
    <row r="32" customFormat="false" ht="15" hidden="false" customHeight="false" outlineLevel="0" collapsed="false">
      <c r="A32" s="0"/>
      <c r="B32" s="0"/>
    </row>
    <row r="33" customFormat="false" ht="15" hidden="false" customHeight="false" outlineLevel="0" collapsed="false">
      <c r="A33" s="0"/>
      <c r="B33" s="0"/>
    </row>
    <row r="34" customFormat="false" ht="15" hidden="false" customHeight="false" outlineLevel="0" collapsed="false">
      <c r="A34" s="0"/>
      <c r="B34" s="0"/>
    </row>
    <row r="35" customFormat="false" ht="15" hidden="false" customHeight="false" outlineLevel="0" collapsed="false">
      <c r="A35" s="0"/>
      <c r="B35" s="0"/>
    </row>
    <row r="36" customFormat="false" ht="15" hidden="false" customHeight="false" outlineLevel="0" collapsed="false">
      <c r="A36" s="0"/>
      <c r="B36" s="0"/>
    </row>
    <row r="37" customFormat="false" ht="15" hidden="false" customHeight="false" outlineLevel="0" collapsed="false">
      <c r="A37" s="0"/>
      <c r="B37" s="0"/>
    </row>
    <row r="38" customFormat="false" ht="15" hidden="false" customHeight="false" outlineLevel="0" collapsed="false">
      <c r="A38" s="0"/>
    </row>
    <row r="39" customFormat="false" ht="15" hidden="false" customHeight="false" outlineLevel="0" collapsed="false">
      <c r="A39" s="0"/>
    </row>
    <row r="40" customFormat="false" ht="15" hidden="false" customHeight="false" outlineLevel="0" collapsed="false">
      <c r="A40" s="0"/>
    </row>
    <row r="41" customFormat="false" ht="15" hidden="false" customHeight="false" outlineLevel="0" collapsed="false">
      <c r="A41" s="0"/>
    </row>
    <row r="42" customFormat="false" ht="15" hidden="false" customHeight="false" outlineLevel="0" collapsed="false">
      <c r="A42" s="0"/>
    </row>
    <row r="43" customFormat="false" ht="15" hidden="false" customHeight="false" outlineLevel="0" collapsed="false">
      <c r="A43" s="0"/>
    </row>
    <row r="44" customFormat="false" ht="15" hidden="false" customHeight="false" outlineLevel="0" collapsed="false">
      <c r="A44" s="0"/>
    </row>
    <row r="45" customFormat="false" ht="15" hidden="false" customHeight="false" outlineLevel="0" collapsed="false">
      <c r="A45" s="0"/>
    </row>
    <row r="46" customFormat="false" ht="15" hidden="false" customHeight="false" outlineLevel="0" collapsed="false">
      <c r="A46" s="0"/>
    </row>
    <row r="47" customFormat="false" ht="15" hidden="false" customHeight="false" outlineLevel="0" collapsed="false">
      <c r="A47" s="0"/>
    </row>
    <row r="48" customFormat="false" ht="15" hidden="false" customHeight="false" outlineLevel="0" collapsed="false">
      <c r="A48" s="0"/>
    </row>
    <row r="49" customFormat="false" ht="15" hidden="false" customHeight="false" outlineLevel="0" collapsed="false">
      <c r="A49" s="0"/>
    </row>
    <row r="50" customFormat="false" ht="15" hidden="false" customHeight="false" outlineLevel="0" collapsed="false">
      <c r="A50" s="0"/>
    </row>
    <row r="51" customFormat="false" ht="15" hidden="false" customHeight="false" outlineLevel="0" collapsed="false">
      <c r="A51" s="0"/>
    </row>
    <row r="52" customFormat="false" ht="15" hidden="false" customHeight="false" outlineLevel="0" collapsed="false">
      <c r="A52" s="0"/>
    </row>
    <row r="53" customFormat="false" ht="15" hidden="false" customHeight="false" outlineLevel="0" collapsed="false">
      <c r="A53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2024-09-09T18:05:09Z</dcterms:created>
  <dc:creator>Ivan</dc:creator>
  <dc:description/>
  <dc:language>ru-RU</dc:language>
  <cp:lastModifiedBy/>
  <dcterms:modified xsi:type="dcterms:W3CDTF">2024-09-12T20:58:46Z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