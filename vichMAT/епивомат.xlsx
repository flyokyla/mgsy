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Метод прогонки" sheetId="1" state="visible" r:id="rId3"/>
    <sheet name="Погрешности" sheetId="2" state="visible" r:id="rId4"/>
    <sheet name="График" sheetId="3" state="visible" r:id="rId5"/>
    <sheet name="Центральные производны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<sst xmlns="http://schemas.openxmlformats.org/spreadsheetml/2006/main" count="45" uniqueCount="15">
  <si>
    <r>
      <rPr>
        <sz val="11"/>
        <color theme="1"/>
        <rFont val="Calibri"/>
        <family val="2"/>
        <charset val="204"/>
      </rPr>
      <t xml:space="preserve">Решение СЛАУ </t>
    </r>
    <r>
      <rPr>
        <sz val="11"/>
        <color theme="1"/>
        <rFont val="Calibri"/>
        <family val="2"/>
      </rPr>
      <t xml:space="preserve">методом прогонки при</t>
    </r>
    <r>
      <rPr>
        <sz val="11"/>
        <color theme="1"/>
        <rFont val="Calibri"/>
        <family val="2"/>
        <charset val="204"/>
      </rPr>
      <t xml:space="preserve"> О(h) для n = 4</t>
    </r>
  </si>
  <si>
    <t xml:space="preserve">i</t>
  </si>
  <si>
    <t xml:space="preserve">x(i)</t>
  </si>
  <si>
    <t xml:space="preserve">a()</t>
  </si>
  <si>
    <t xml:space="preserve">b(i)</t>
  </si>
  <si>
    <t xml:space="preserve">c(i)</t>
  </si>
  <si>
    <t xml:space="preserve">d(i)</t>
  </si>
  <si>
    <t xml:space="preserve">y(i)</t>
  </si>
  <si>
    <t xml:space="preserve">y(i)*</t>
  </si>
  <si>
    <t xml:space="preserve">|y(i)-y(i)*|</t>
  </si>
  <si>
    <r>
      <rPr>
        <sz val="11"/>
        <color theme="1"/>
        <rFont val="Calibri"/>
        <family val="2"/>
        <charset val="204"/>
      </rPr>
      <t xml:space="preserve">Решение СЛАУ </t>
    </r>
    <r>
      <rPr>
        <sz val="11"/>
        <color theme="1"/>
        <rFont val="Calibri"/>
        <family val="2"/>
      </rPr>
      <t xml:space="preserve">методом прогонки при</t>
    </r>
    <r>
      <rPr>
        <sz val="11"/>
        <color theme="1"/>
        <rFont val="Calibri"/>
        <family val="2"/>
        <charset val="204"/>
      </rPr>
      <t xml:space="preserve"> О(h) для n = 8</t>
    </r>
  </si>
  <si>
    <r>
      <rPr>
        <sz val="11"/>
        <color theme="1"/>
        <rFont val="Calibri"/>
        <family val="2"/>
        <charset val="204"/>
      </rPr>
      <t xml:space="preserve">Решение СЛАУ </t>
    </r>
    <r>
      <rPr>
        <sz val="11"/>
        <color theme="1"/>
        <rFont val="Calibri"/>
        <family val="2"/>
      </rPr>
      <t xml:space="preserve">методом прогонки при</t>
    </r>
    <r>
      <rPr>
        <sz val="11"/>
        <color theme="1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</rPr>
      <t xml:space="preserve">О(h**2) для n = 4</t>
    </r>
  </si>
  <si>
    <r>
      <rPr>
        <sz val="11"/>
        <color theme="1"/>
        <rFont val="Calibri"/>
        <family val="2"/>
        <charset val="204"/>
      </rPr>
      <t xml:space="preserve">Решение СЛАУ </t>
    </r>
    <r>
      <rPr>
        <sz val="11"/>
        <color theme="1"/>
        <rFont val="Calibri"/>
        <family val="2"/>
      </rPr>
      <t xml:space="preserve">методом прогонки при</t>
    </r>
    <r>
      <rPr>
        <sz val="11"/>
        <color theme="1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</rPr>
      <t xml:space="preserve">О(h**2) для n = 8</t>
    </r>
  </si>
  <si>
    <t xml:space="preserve">Абсолютная и относительная погрешность с точностью O(h)</t>
  </si>
  <si>
    <t xml:space="preserve">Абсолютная и относительная погрешность с точностью О(h**2)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</si>
</sst>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.0000"/>
    <numFmt numFmtId="168" formatCode="0.00000"/>
    <numFmt numFmtId="169" formatCode="0.000"/>
    <numFmt numFmtId="170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rgb="FFFFFF6D"/>
      <name val="Calibri"/>
      <family val="2"/>
      <charset val="1"/>
    </font>
    <font>
      <b val="true"/>
      <sz val="14"/>
      <color rgb="FF000000"/>
      <name val="Times New Roman"/>
      <family val="1"/>
      <charset val="204"/>
    </font>
    <font>
      <sz val="11"/>
      <color theme="1"/>
      <name val="Cambria Math"/>
      <family val="1"/>
    </font>
    <font>
      <i val="true"/>
      <sz val="11"/>
      <color theme="1"/>
      <name val="Times New Roman"/>
      <family val="1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204"/>
    </font>
    <font>
      <sz val="12"/>
      <color rgb="FF000000"/>
      <name val="Cambria Math"/>
      <family val="1"/>
    </font>
    <font>
      <sz val="12"/>
      <color rgb="FF000000"/>
      <name val="Cantarell"/>
      <family val="2"/>
    </font>
    <font>
      <sz val="8"/>
      <color rgb="FF000000"/>
      <name val="Cambria Math"/>
      <family val="1"/>
    </font>
    <font>
      <sz val="8"/>
      <color rgb="FF000000"/>
      <name val="Cantarell"/>
      <family val="2"/>
    </font>
    <font>
      <sz val="9"/>
      <color rgb="FF000000"/>
      <name val="Cambria Math"/>
      <family val="1"/>
    </font>
    <font>
      <sz val="9"/>
      <color rgb="FF000000"/>
      <name val="Cantarel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05"/>
        <bgColor rgb="FFDEEB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Графики функций на заданном отрезке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 точное"</c:f>
              <c:strCache>
                <c:ptCount val="1"/>
                <c:pt idx="0">
                  <c:v>y точное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lang="ru-RU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'Метод прогонки'!$B$12:$B$20</c:f>
              <c:numCache>
                <c:formatCode>0.000</c:formatCode>
                <c:ptCount val="9"/>
                <c:pt idx="0">
                  <c:v>-1</c:v>
                </c:pt>
                <c:pt idx="1">
                  <c:v>-0.875</c:v>
                </c:pt>
                <c:pt idx="2">
                  <c:v>-0.75</c:v>
                </c:pt>
                <c:pt idx="3">
                  <c:v>-0.625</c:v>
                </c:pt>
                <c:pt idx="4">
                  <c:v>-0.5</c:v>
                </c:pt>
                <c:pt idx="5">
                  <c:v>-0.375</c:v>
                </c:pt>
                <c:pt idx="6">
                  <c:v>-0.25</c:v>
                </c:pt>
                <c:pt idx="7">
                  <c:v>-0.125</c:v>
                </c:pt>
                <c:pt idx="8">
                  <c:v>0</c:v>
                </c:pt>
              </c:numCache>
            </c:numRef>
          </c:xVal>
          <c:yVal>
            <c:numRef>
              <c:f>'Метод прогонки'!$J$12:$J$20</c:f>
              <c:numCache>
                <c:formatCode>0.0000</c:formatCode>
                <c:ptCount val="9"/>
                <c:pt idx="0">
                  <c:v>2</c:v>
                </c:pt>
                <c:pt idx="1">
                  <c:v>1.586181640625</c:v>
                </c:pt>
                <c:pt idx="2">
                  <c:v>1.31640625</c:v>
                </c:pt>
                <c:pt idx="3">
                  <c:v>1.152587890625</c:v>
                </c:pt>
                <c:pt idx="4">
                  <c:v>1.0625</c:v>
                </c:pt>
                <c:pt idx="5">
                  <c:v>1.019775390625</c:v>
                </c:pt>
                <c:pt idx="6">
                  <c:v>1.00390625</c:v>
                </c:pt>
                <c:pt idx="7">
                  <c:v>1.000244140625</c:v>
                </c:pt>
                <c:pt idx="8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"O(h), n=4"</c:f>
              <c:strCache>
                <c:ptCount val="1"/>
                <c:pt idx="0">
                  <c:v>O(h), n=4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lang="ru-RU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'Метод прогонки'!$B$3:$B$7</c:f>
              <c:numCache>
                <c:formatCode>0.00</c:formatCode>
                <c:ptCount val="5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</c:numCache>
            </c:numRef>
          </c:xVal>
          <c:yVal>
            <c:numRef>
              <c:f>'Метод прогонки'!$I$3:$I$7</c:f>
              <c:numCache>
                <c:formatCode>0.0000</c:formatCode>
                <c:ptCount val="5"/>
                <c:pt idx="0">
                  <c:v>2</c:v>
                </c:pt>
                <c:pt idx="1">
                  <c:v>2.11948029891305</c:v>
                </c:pt>
                <c:pt idx="2">
                  <c:v>1.66644021739131</c:v>
                </c:pt>
                <c:pt idx="3">
                  <c:v>1.01146399456522</c:v>
                </c:pt>
                <c:pt idx="4">
                  <c:v>1.01222826086957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"O(h), n=8"</c:f>
              <c:strCache>
                <c:ptCount val="1"/>
                <c:pt idx="0">
                  <c:v>O(h), n=8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lang="ru-RU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'Метод прогонки'!$B$12:$B$20</c:f>
              <c:numCache>
                <c:formatCode>0.000</c:formatCode>
                <c:ptCount val="9"/>
                <c:pt idx="0">
                  <c:v>-1</c:v>
                </c:pt>
                <c:pt idx="1">
                  <c:v>-0.875</c:v>
                </c:pt>
                <c:pt idx="2">
                  <c:v>-0.75</c:v>
                </c:pt>
                <c:pt idx="3">
                  <c:v>-0.625</c:v>
                </c:pt>
                <c:pt idx="4">
                  <c:v>-0.5</c:v>
                </c:pt>
                <c:pt idx="5">
                  <c:v>-0.375</c:v>
                </c:pt>
                <c:pt idx="6">
                  <c:v>-0.25</c:v>
                </c:pt>
                <c:pt idx="7">
                  <c:v>-0.125</c:v>
                </c:pt>
                <c:pt idx="8">
                  <c:v>0</c:v>
                </c:pt>
              </c:numCache>
            </c:numRef>
          </c:xVal>
          <c:yVal>
            <c:numRef>
              <c:f>'Метод прогонки'!$I$12:$I$20</c:f>
              <c:numCache>
                <c:formatCode>0.0000</c:formatCode>
                <c:ptCount val="9"/>
                <c:pt idx="0">
                  <c:v>2</c:v>
                </c:pt>
                <c:pt idx="1">
                  <c:v>1.57607276611698</c:v>
                </c:pt>
                <c:pt idx="2">
                  <c:v>1.30394422827054</c:v>
                </c:pt>
                <c:pt idx="3">
                  <c:v>1.14257854905549</c:v>
                </c:pt>
                <c:pt idx="4">
                  <c:v>1.05734201577846</c:v>
                </c:pt>
                <c:pt idx="5">
                  <c:v>1.01997093083444</c:v>
                </c:pt>
                <c:pt idx="6">
                  <c:v>1.00854867626153</c:v>
                </c:pt>
                <c:pt idx="7">
                  <c:v>1.00748817487095</c:v>
                </c:pt>
                <c:pt idx="8">
                  <c:v>1.0075175402626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"O(h^2), n=4"</c:f>
              <c:strCache>
                <c:ptCount val="1"/>
                <c:pt idx="0">
                  <c:v>O(h^2), n=4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lang="ru-RU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'Метод прогонки'!$B$26:$B$30</c:f>
              <c:numCache>
                <c:formatCode>0.00</c:formatCode>
                <c:ptCount val="5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</c:numCache>
            </c:numRef>
          </c:xVal>
          <c:yVal>
            <c:numRef>
              <c:f>'Метод прогонки'!$I$26:$I$30</c:f>
              <c:numCache>
                <c:formatCode>0.0000</c:formatCode>
                <c:ptCount val="5"/>
                <c:pt idx="0">
                  <c:v>2</c:v>
                </c:pt>
                <c:pt idx="1">
                  <c:v>5.59950657894737</c:v>
                </c:pt>
                <c:pt idx="2">
                  <c:v>4.19736842105263</c:v>
                </c:pt>
                <c:pt idx="3">
                  <c:v>0.948190789473684</c:v>
                </c:pt>
                <c:pt idx="4">
                  <c:v>-0.18421052631579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"O(h^2), n=8"</c:f>
              <c:strCache>
                <c:ptCount val="1"/>
                <c:pt idx="0">
                  <c:v>O(h^2), n=8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lang="ru-RU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'Метод прогонки'!$B$35:$B$43</c:f>
              <c:numCache>
                <c:formatCode>0.000</c:formatCode>
                <c:ptCount val="9"/>
                <c:pt idx="0">
                  <c:v>-1</c:v>
                </c:pt>
                <c:pt idx="1">
                  <c:v>-0.875</c:v>
                </c:pt>
                <c:pt idx="2">
                  <c:v>-0.75</c:v>
                </c:pt>
                <c:pt idx="3">
                  <c:v>-0.625</c:v>
                </c:pt>
                <c:pt idx="4">
                  <c:v>-0.5</c:v>
                </c:pt>
                <c:pt idx="5">
                  <c:v>-0.375</c:v>
                </c:pt>
                <c:pt idx="6">
                  <c:v>-0.25</c:v>
                </c:pt>
                <c:pt idx="7">
                  <c:v>-0.125</c:v>
                </c:pt>
                <c:pt idx="8">
                  <c:v>0</c:v>
                </c:pt>
              </c:numCache>
            </c:numRef>
          </c:xVal>
          <c:yVal>
            <c:numRef>
              <c:f>'Метод прогонки'!$I$35:$I$43</c:f>
              <c:numCache>
                <c:formatCode>0.0000</c:formatCode>
                <c:ptCount val="9"/>
                <c:pt idx="0">
                  <c:v>2</c:v>
                </c:pt>
                <c:pt idx="1">
                  <c:v>1.57729401094713</c:v>
                </c:pt>
                <c:pt idx="2">
                  <c:v>1.30569781059075</c:v>
                </c:pt>
                <c:pt idx="3">
                  <c:v>1.14432718706465</c:v>
                </c:pt>
                <c:pt idx="4">
                  <c:v>1.05870896188297</c:v>
                </c:pt>
                <c:pt idx="5">
                  <c:v>1.02073723965657</c:v>
                </c:pt>
                <c:pt idx="6">
                  <c:v>1.00864215789033</c:v>
                </c:pt>
                <c:pt idx="7">
                  <c:v>1.00696598976945</c:v>
                </c:pt>
                <c:pt idx="8">
                  <c:v>1.00654359189361</c:v>
                </c:pt>
              </c:numCache>
            </c:numRef>
          </c:yVal>
          <c:smooth val="1"/>
        </c:ser>
        <c:axId val="48918314"/>
        <c:axId val="30489645"/>
      </c:scatterChart>
      <c:valAx>
        <c:axId val="48918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х</a:t>
                </a:r>
              </a:p>
            </c:rich>
          </c:tx>
          <c:layout>
            <c:manualLayout>
              <c:xMode val="edge"/>
              <c:yMode val="edge"/>
              <c:x val="0.0304182509505703"/>
              <c:y val="0.938372399262576"/>
            </c:manualLayout>
          </c:layout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lang="ru-RU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489645"/>
        <c:crosses val="autoZero"/>
        <c:crossBetween val="midCat"/>
      </c:valAx>
      <c:valAx>
        <c:axId val="304896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у</a:t>
                </a:r>
              </a:p>
            </c:rich>
          </c:tx>
          <c:layout>
            <c:manualLayout>
              <c:xMode val="edge"/>
              <c:yMode val="edge"/>
              <c:x val="0.873546186535451"/>
              <c:y val="0.0769554911772452"/>
            </c:manualLayout>
          </c:layout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lang="ru-RU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9183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ru-RU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0.png"/><Relationship Id="rId9" Type="http://schemas.openxmlformats.org/officeDocument/2006/relationships/image" Target="../media/image11.png"/><Relationship Id="rId10" Type="http://schemas.openxmlformats.org/officeDocument/2006/relationships/image" Target="../media/image12.png"/><Relationship Id="rId11" Type="http://schemas.openxmlformats.org/officeDocument/2006/relationships/image" Target="../media/image13.png"/><Relationship Id="rId12" Type="http://schemas.openxmlformats.org/officeDocument/2006/relationships/image" Target="../media/image14.png"/><Relationship Id="rId13" Type="http://schemas.openxmlformats.org/officeDocument/2006/relationships/image" Target="../media/image1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195120</xdr:colOff>
      <xdr:row>24</xdr:row>
      <xdr:rowOff>96120</xdr:rowOff>
    </xdr:from>
    <xdr:to>
      <xdr:col>5</xdr:col>
      <xdr:colOff>420840</xdr:colOff>
      <xdr:row>24</xdr:row>
      <xdr:rowOff>236160</xdr:rowOff>
    </xdr:to>
    <xdr:sp>
      <xdr:nvSpPr>
        <xdr:cNvPr id="0" name="TextBox 83"/>
        <xdr:cNvSpPr/>
      </xdr:nvSpPr>
      <xdr:spPr>
        <a:xfrm>
          <a:off x="3633480" y="5231880"/>
          <a:ext cx="22572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221040</xdr:colOff>
      <xdr:row>24</xdr:row>
      <xdr:rowOff>80640</xdr:rowOff>
    </xdr:from>
    <xdr:to>
      <xdr:col>6</xdr:col>
      <xdr:colOff>462240</xdr:colOff>
      <xdr:row>24</xdr:row>
      <xdr:rowOff>220680</xdr:rowOff>
    </xdr:to>
    <xdr:sp>
      <xdr:nvSpPr>
        <xdr:cNvPr id="1" name="TextBox 84"/>
        <xdr:cNvSpPr/>
      </xdr:nvSpPr>
      <xdr:spPr>
        <a:xfrm>
          <a:off x="4482360" y="5216400"/>
          <a:ext cx="2412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𝑃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204480</xdr:colOff>
      <xdr:row>24</xdr:row>
      <xdr:rowOff>65520</xdr:rowOff>
    </xdr:from>
    <xdr:to>
      <xdr:col>7</xdr:col>
      <xdr:colOff>451080</xdr:colOff>
      <xdr:row>24</xdr:row>
      <xdr:rowOff>205560</xdr:rowOff>
    </xdr:to>
    <xdr:sp>
      <xdr:nvSpPr>
        <xdr:cNvPr id="2" name="TextBox 85"/>
        <xdr:cNvSpPr/>
      </xdr:nvSpPr>
      <xdr:spPr>
        <a:xfrm>
          <a:off x="5174640" y="5201280"/>
          <a:ext cx="2466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𝑄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309600</xdr:colOff>
      <xdr:row>10</xdr:row>
      <xdr:rowOff>73440</xdr:rowOff>
    </xdr:from>
    <xdr:to>
      <xdr:col>6</xdr:col>
      <xdr:colOff>552240</xdr:colOff>
      <xdr:row>10</xdr:row>
      <xdr:rowOff>213480</xdr:rowOff>
    </xdr:to>
    <xdr:sp>
      <xdr:nvSpPr>
        <xdr:cNvPr id="3" name="TextBox 30"/>
        <xdr:cNvSpPr/>
      </xdr:nvSpPr>
      <xdr:spPr>
        <a:xfrm>
          <a:off x="4570920" y="2342880"/>
          <a:ext cx="24264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𝑃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190080</xdr:colOff>
      <xdr:row>1</xdr:row>
      <xdr:rowOff>54360</xdr:rowOff>
    </xdr:from>
    <xdr:to>
      <xdr:col>6</xdr:col>
      <xdr:colOff>554760</xdr:colOff>
      <xdr:row>1</xdr:row>
      <xdr:rowOff>300240</xdr:rowOff>
    </xdr:to>
    <xdr:pic>
      <xdr:nvPicPr>
        <xdr:cNvPr id="4" name="Image 11" descr=""/>
        <xdr:cNvPicPr/>
      </xdr:nvPicPr>
      <xdr:blipFill>
        <a:blip r:embed="rId1"/>
        <a:stretch/>
      </xdr:blipFill>
      <xdr:spPr>
        <a:xfrm>
          <a:off x="4451400" y="347760"/>
          <a:ext cx="364680" cy="24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154080</xdr:colOff>
      <xdr:row>1</xdr:row>
      <xdr:rowOff>54720</xdr:rowOff>
    </xdr:from>
    <xdr:to>
      <xdr:col>7</xdr:col>
      <xdr:colOff>448560</xdr:colOff>
      <xdr:row>1</xdr:row>
      <xdr:rowOff>266040</xdr:rowOff>
    </xdr:to>
    <xdr:pic>
      <xdr:nvPicPr>
        <xdr:cNvPr id="5" name="Image 9" descr=""/>
        <xdr:cNvPicPr/>
      </xdr:nvPicPr>
      <xdr:blipFill>
        <a:blip r:embed="rId2"/>
        <a:stretch/>
      </xdr:blipFill>
      <xdr:spPr>
        <a:xfrm>
          <a:off x="5124240" y="348120"/>
          <a:ext cx="294480" cy="21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190080</xdr:colOff>
      <xdr:row>10</xdr:row>
      <xdr:rowOff>58680</xdr:rowOff>
    </xdr:from>
    <xdr:to>
      <xdr:col>6</xdr:col>
      <xdr:colOff>554760</xdr:colOff>
      <xdr:row>10</xdr:row>
      <xdr:rowOff>304560</xdr:rowOff>
    </xdr:to>
    <xdr:pic>
      <xdr:nvPicPr>
        <xdr:cNvPr id="6" name="Image 10" descr=""/>
        <xdr:cNvPicPr/>
      </xdr:nvPicPr>
      <xdr:blipFill>
        <a:blip r:embed="rId3"/>
        <a:stretch/>
      </xdr:blipFill>
      <xdr:spPr>
        <a:xfrm>
          <a:off x="4451400" y="2328120"/>
          <a:ext cx="364680" cy="24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154080</xdr:colOff>
      <xdr:row>10</xdr:row>
      <xdr:rowOff>59400</xdr:rowOff>
    </xdr:from>
    <xdr:to>
      <xdr:col>7</xdr:col>
      <xdr:colOff>448560</xdr:colOff>
      <xdr:row>10</xdr:row>
      <xdr:rowOff>270720</xdr:rowOff>
    </xdr:to>
    <xdr:pic>
      <xdr:nvPicPr>
        <xdr:cNvPr id="7" name="Image 12" descr=""/>
        <xdr:cNvPicPr/>
      </xdr:nvPicPr>
      <xdr:blipFill>
        <a:blip r:embed="rId4"/>
        <a:stretch/>
      </xdr:blipFill>
      <xdr:spPr>
        <a:xfrm>
          <a:off x="5124240" y="2328840"/>
          <a:ext cx="294480" cy="21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309600</xdr:colOff>
      <xdr:row>24</xdr:row>
      <xdr:rowOff>55800</xdr:rowOff>
    </xdr:from>
    <xdr:to>
      <xdr:col>6</xdr:col>
      <xdr:colOff>552240</xdr:colOff>
      <xdr:row>24</xdr:row>
      <xdr:rowOff>195840</xdr:rowOff>
    </xdr:to>
    <xdr:sp>
      <xdr:nvSpPr>
        <xdr:cNvPr id="8" name="TextBox 1"/>
        <xdr:cNvSpPr/>
      </xdr:nvSpPr>
      <xdr:spPr>
        <a:xfrm>
          <a:off x="4570920" y="5191560"/>
          <a:ext cx="24264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𝑃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196920</xdr:colOff>
      <xdr:row>24</xdr:row>
      <xdr:rowOff>3960</xdr:rowOff>
    </xdr:from>
    <xdr:to>
      <xdr:col>6</xdr:col>
      <xdr:colOff>561600</xdr:colOff>
      <xdr:row>24</xdr:row>
      <xdr:rowOff>249840</xdr:rowOff>
    </xdr:to>
    <xdr:pic>
      <xdr:nvPicPr>
        <xdr:cNvPr id="9" name="Image 13" descr=""/>
        <xdr:cNvPicPr/>
      </xdr:nvPicPr>
      <xdr:blipFill>
        <a:blip r:embed="rId5"/>
        <a:stretch/>
      </xdr:blipFill>
      <xdr:spPr>
        <a:xfrm>
          <a:off x="4458240" y="5139720"/>
          <a:ext cx="364680" cy="24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210240</xdr:colOff>
      <xdr:row>24</xdr:row>
      <xdr:rowOff>38160</xdr:rowOff>
    </xdr:from>
    <xdr:to>
      <xdr:col>7</xdr:col>
      <xdr:colOff>504720</xdr:colOff>
      <xdr:row>24</xdr:row>
      <xdr:rowOff>249480</xdr:rowOff>
    </xdr:to>
    <xdr:pic>
      <xdr:nvPicPr>
        <xdr:cNvPr id="10" name="Image 14" descr=""/>
        <xdr:cNvPicPr/>
      </xdr:nvPicPr>
      <xdr:blipFill>
        <a:blip r:embed="rId6"/>
        <a:stretch/>
      </xdr:blipFill>
      <xdr:spPr>
        <a:xfrm>
          <a:off x="5180400" y="5173920"/>
          <a:ext cx="294480" cy="21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195120</xdr:colOff>
      <xdr:row>33</xdr:row>
      <xdr:rowOff>112680</xdr:rowOff>
    </xdr:from>
    <xdr:to>
      <xdr:col>5</xdr:col>
      <xdr:colOff>420840</xdr:colOff>
      <xdr:row>33</xdr:row>
      <xdr:rowOff>252720</xdr:rowOff>
    </xdr:to>
    <xdr:sp>
      <xdr:nvSpPr>
        <xdr:cNvPr id="11" name="TextBox 2"/>
        <xdr:cNvSpPr/>
      </xdr:nvSpPr>
      <xdr:spPr>
        <a:xfrm>
          <a:off x="3633480" y="7058880"/>
          <a:ext cx="22572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221040</xdr:colOff>
      <xdr:row>33</xdr:row>
      <xdr:rowOff>94320</xdr:rowOff>
    </xdr:from>
    <xdr:to>
      <xdr:col>6</xdr:col>
      <xdr:colOff>462240</xdr:colOff>
      <xdr:row>33</xdr:row>
      <xdr:rowOff>234360</xdr:rowOff>
    </xdr:to>
    <xdr:sp>
      <xdr:nvSpPr>
        <xdr:cNvPr id="12" name="TextBox 3"/>
        <xdr:cNvSpPr/>
      </xdr:nvSpPr>
      <xdr:spPr>
        <a:xfrm>
          <a:off x="4482360" y="7040520"/>
          <a:ext cx="2412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𝑃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204480</xdr:colOff>
      <xdr:row>33</xdr:row>
      <xdr:rowOff>76680</xdr:rowOff>
    </xdr:from>
    <xdr:to>
      <xdr:col>7</xdr:col>
      <xdr:colOff>451080</xdr:colOff>
      <xdr:row>33</xdr:row>
      <xdr:rowOff>216720</xdr:rowOff>
    </xdr:to>
    <xdr:sp>
      <xdr:nvSpPr>
        <xdr:cNvPr id="13" name="TextBox 4"/>
        <xdr:cNvSpPr/>
      </xdr:nvSpPr>
      <xdr:spPr>
        <a:xfrm>
          <a:off x="5174640" y="7022880"/>
          <a:ext cx="2466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𝑄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309600</xdr:colOff>
      <xdr:row>33</xdr:row>
      <xdr:rowOff>65160</xdr:rowOff>
    </xdr:from>
    <xdr:to>
      <xdr:col>6</xdr:col>
      <xdr:colOff>552240</xdr:colOff>
      <xdr:row>33</xdr:row>
      <xdr:rowOff>205200</xdr:rowOff>
    </xdr:to>
    <xdr:sp>
      <xdr:nvSpPr>
        <xdr:cNvPr id="14" name="TextBox 5"/>
        <xdr:cNvSpPr/>
      </xdr:nvSpPr>
      <xdr:spPr>
        <a:xfrm>
          <a:off x="4570920" y="7011360"/>
          <a:ext cx="24264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𝑃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196920</xdr:colOff>
      <xdr:row>33</xdr:row>
      <xdr:rowOff>4320</xdr:rowOff>
    </xdr:from>
    <xdr:to>
      <xdr:col>6</xdr:col>
      <xdr:colOff>561600</xdr:colOff>
      <xdr:row>33</xdr:row>
      <xdr:rowOff>250200</xdr:rowOff>
    </xdr:to>
    <xdr:pic>
      <xdr:nvPicPr>
        <xdr:cNvPr id="15" name="Image 15" descr=""/>
        <xdr:cNvPicPr/>
      </xdr:nvPicPr>
      <xdr:blipFill>
        <a:blip r:embed="rId7"/>
        <a:stretch/>
      </xdr:blipFill>
      <xdr:spPr>
        <a:xfrm>
          <a:off x="4458240" y="6950520"/>
          <a:ext cx="364680" cy="24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210240</xdr:colOff>
      <xdr:row>33</xdr:row>
      <xdr:rowOff>44640</xdr:rowOff>
    </xdr:from>
    <xdr:to>
      <xdr:col>7</xdr:col>
      <xdr:colOff>504720</xdr:colOff>
      <xdr:row>33</xdr:row>
      <xdr:rowOff>255960</xdr:rowOff>
    </xdr:to>
    <xdr:pic>
      <xdr:nvPicPr>
        <xdr:cNvPr id="16" name="Image 16" descr=""/>
        <xdr:cNvPicPr/>
      </xdr:nvPicPr>
      <xdr:blipFill>
        <a:blip r:embed="rId8"/>
        <a:stretch/>
      </xdr:blipFill>
      <xdr:spPr>
        <a:xfrm>
          <a:off x="5180400" y="6990840"/>
          <a:ext cx="294480" cy="21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40320</xdr:rowOff>
    </xdr:from>
    <xdr:to>
      <xdr:col>2</xdr:col>
      <xdr:colOff>24480</xdr:colOff>
      <xdr:row>9</xdr:row>
      <xdr:rowOff>184680</xdr:rowOff>
    </xdr:to>
    <xdr:pic>
      <xdr:nvPicPr>
        <xdr:cNvPr id="17" name="Image 1" descr=""/>
        <xdr:cNvPicPr/>
      </xdr:nvPicPr>
      <xdr:blipFill>
        <a:blip r:embed="rId1"/>
        <a:stretch/>
      </xdr:blipFill>
      <xdr:spPr>
        <a:xfrm>
          <a:off x="0" y="1564200"/>
          <a:ext cx="1400040" cy="33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10</xdr:row>
      <xdr:rowOff>-360</xdr:rowOff>
    </xdr:from>
    <xdr:to>
      <xdr:col>1</xdr:col>
      <xdr:colOff>654840</xdr:colOff>
      <xdr:row>11</xdr:row>
      <xdr:rowOff>155520</xdr:rowOff>
    </xdr:to>
    <xdr:pic>
      <xdr:nvPicPr>
        <xdr:cNvPr id="18" name="Image 2" descr=""/>
        <xdr:cNvPicPr/>
      </xdr:nvPicPr>
      <xdr:blipFill>
        <a:blip r:embed="rId2"/>
        <a:stretch/>
      </xdr:blipFill>
      <xdr:spPr>
        <a:xfrm>
          <a:off x="57240" y="1904760"/>
          <a:ext cx="1285200" cy="34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5040</xdr:rowOff>
    </xdr:from>
    <xdr:to>
      <xdr:col>1</xdr:col>
      <xdr:colOff>672840</xdr:colOff>
      <xdr:row>24</xdr:row>
      <xdr:rowOff>168840</xdr:rowOff>
    </xdr:to>
    <xdr:pic>
      <xdr:nvPicPr>
        <xdr:cNvPr id="19" name="Image 3" descr=""/>
        <xdr:cNvPicPr/>
      </xdr:nvPicPr>
      <xdr:blipFill>
        <a:blip r:embed="rId3"/>
        <a:stretch/>
      </xdr:blipFill>
      <xdr:spPr>
        <a:xfrm>
          <a:off x="0" y="4386600"/>
          <a:ext cx="1360440" cy="35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48960</xdr:colOff>
      <xdr:row>25</xdr:row>
      <xdr:rowOff>4680</xdr:rowOff>
    </xdr:from>
    <xdr:to>
      <xdr:col>1</xdr:col>
      <xdr:colOff>677520</xdr:colOff>
      <xdr:row>26</xdr:row>
      <xdr:rowOff>124920</xdr:rowOff>
    </xdr:to>
    <xdr:pic>
      <xdr:nvPicPr>
        <xdr:cNvPr id="20" name="Image 4" descr=""/>
        <xdr:cNvPicPr/>
      </xdr:nvPicPr>
      <xdr:blipFill>
        <a:blip r:embed="rId4"/>
        <a:stretch/>
      </xdr:blipFill>
      <xdr:spPr>
        <a:xfrm>
          <a:off x="48960" y="4767120"/>
          <a:ext cx="1316160" cy="31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199080</xdr:colOff>
      <xdr:row>28</xdr:row>
      <xdr:rowOff>6120</xdr:rowOff>
    </xdr:from>
    <xdr:to>
      <xdr:col>3</xdr:col>
      <xdr:colOff>555480</xdr:colOff>
      <xdr:row>29</xdr:row>
      <xdr:rowOff>153360</xdr:rowOff>
    </xdr:to>
    <xdr:pic>
      <xdr:nvPicPr>
        <xdr:cNvPr id="21" name="Image 5" descr=""/>
        <xdr:cNvPicPr/>
      </xdr:nvPicPr>
      <xdr:blipFill>
        <a:blip r:embed="rId5"/>
        <a:stretch/>
      </xdr:blipFill>
      <xdr:spPr>
        <a:xfrm>
          <a:off x="1574640" y="5340240"/>
          <a:ext cx="1044000" cy="33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258120</xdr:colOff>
      <xdr:row>23</xdr:row>
      <xdr:rowOff>52920</xdr:rowOff>
    </xdr:from>
    <xdr:to>
      <xdr:col>2</xdr:col>
      <xdr:colOff>2880</xdr:colOff>
      <xdr:row>24</xdr:row>
      <xdr:rowOff>166680</xdr:rowOff>
    </xdr:to>
    <xdr:pic>
      <xdr:nvPicPr>
        <xdr:cNvPr id="22" name="Image 6" descr=""/>
        <xdr:cNvPicPr/>
      </xdr:nvPicPr>
      <xdr:blipFill>
        <a:blip r:embed="rId6"/>
        <a:stretch/>
      </xdr:blipFill>
      <xdr:spPr>
        <a:xfrm>
          <a:off x="945720" y="4434480"/>
          <a:ext cx="432720" cy="30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171720</xdr:colOff>
      <xdr:row>28</xdr:row>
      <xdr:rowOff>11160</xdr:rowOff>
    </xdr:from>
    <xdr:to>
      <xdr:col>1</xdr:col>
      <xdr:colOff>626760</xdr:colOff>
      <xdr:row>29</xdr:row>
      <xdr:rowOff>142920</xdr:rowOff>
    </xdr:to>
    <xdr:pic>
      <xdr:nvPicPr>
        <xdr:cNvPr id="23" name="Image 7" descr=""/>
        <xdr:cNvPicPr/>
      </xdr:nvPicPr>
      <xdr:blipFill>
        <a:blip r:embed="rId7"/>
        <a:stretch/>
      </xdr:blipFill>
      <xdr:spPr>
        <a:xfrm>
          <a:off x="171720" y="5345280"/>
          <a:ext cx="1142640" cy="32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608040</xdr:colOff>
      <xdr:row>27</xdr:row>
      <xdr:rowOff>172080</xdr:rowOff>
    </xdr:from>
    <xdr:to>
      <xdr:col>2</xdr:col>
      <xdr:colOff>157680</xdr:colOff>
      <xdr:row>29</xdr:row>
      <xdr:rowOff>142920</xdr:rowOff>
    </xdr:to>
    <xdr:pic>
      <xdr:nvPicPr>
        <xdr:cNvPr id="24" name="Image 8" descr=""/>
        <xdr:cNvPicPr/>
      </xdr:nvPicPr>
      <xdr:blipFill>
        <a:blip r:embed="rId8"/>
        <a:stretch/>
      </xdr:blipFill>
      <xdr:spPr>
        <a:xfrm>
          <a:off x="1295640" y="5315760"/>
          <a:ext cx="237600" cy="35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203040</xdr:colOff>
      <xdr:row>10</xdr:row>
      <xdr:rowOff>2880</xdr:rowOff>
    </xdr:from>
    <xdr:to>
      <xdr:col>1</xdr:col>
      <xdr:colOff>656640</xdr:colOff>
      <xdr:row>11</xdr:row>
      <xdr:rowOff>158400</xdr:rowOff>
    </xdr:to>
    <xdr:pic>
      <xdr:nvPicPr>
        <xdr:cNvPr id="25" name="Image 17" descr=""/>
        <xdr:cNvPicPr/>
      </xdr:nvPicPr>
      <xdr:blipFill>
        <a:blip r:embed="rId9"/>
        <a:stretch/>
      </xdr:blipFill>
      <xdr:spPr>
        <a:xfrm>
          <a:off x="890640" y="1908000"/>
          <a:ext cx="453600" cy="34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235080</xdr:colOff>
      <xdr:row>25</xdr:row>
      <xdr:rowOff>6480</xdr:rowOff>
    </xdr:from>
    <xdr:to>
      <xdr:col>1</xdr:col>
      <xdr:colOff>479880</xdr:colOff>
      <xdr:row>26</xdr:row>
      <xdr:rowOff>190440</xdr:rowOff>
    </xdr:to>
    <xdr:pic>
      <xdr:nvPicPr>
        <xdr:cNvPr id="26" name="Image 18" descr=""/>
        <xdr:cNvPicPr/>
      </xdr:nvPicPr>
      <xdr:blipFill>
        <a:blip r:embed="rId10"/>
        <a:stretch/>
      </xdr:blipFill>
      <xdr:spPr>
        <a:xfrm>
          <a:off x="922680" y="4768920"/>
          <a:ext cx="244800" cy="37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183240</xdr:colOff>
      <xdr:row>30</xdr:row>
      <xdr:rowOff>75960</xdr:rowOff>
    </xdr:from>
    <xdr:to>
      <xdr:col>1</xdr:col>
      <xdr:colOff>658800</xdr:colOff>
      <xdr:row>32</xdr:row>
      <xdr:rowOff>25200</xdr:rowOff>
    </xdr:to>
    <xdr:pic>
      <xdr:nvPicPr>
        <xdr:cNvPr id="27" name="Image 19" descr=""/>
        <xdr:cNvPicPr/>
      </xdr:nvPicPr>
      <xdr:blipFill>
        <a:blip r:embed="rId11"/>
        <a:stretch/>
      </xdr:blipFill>
      <xdr:spPr>
        <a:xfrm>
          <a:off x="183240" y="5790960"/>
          <a:ext cx="1163160" cy="33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262080</xdr:colOff>
      <xdr:row>30</xdr:row>
      <xdr:rowOff>101520</xdr:rowOff>
    </xdr:from>
    <xdr:to>
      <xdr:col>3</xdr:col>
      <xdr:colOff>604800</xdr:colOff>
      <xdr:row>32</xdr:row>
      <xdr:rowOff>44640</xdr:rowOff>
    </xdr:to>
    <xdr:pic>
      <xdr:nvPicPr>
        <xdr:cNvPr id="28" name="Image 20" descr=""/>
        <xdr:cNvPicPr/>
      </xdr:nvPicPr>
      <xdr:blipFill>
        <a:blip r:embed="rId12"/>
        <a:stretch/>
      </xdr:blipFill>
      <xdr:spPr>
        <a:xfrm>
          <a:off x="1637640" y="5816520"/>
          <a:ext cx="1030320" cy="324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674280</xdr:colOff>
      <xdr:row>30</xdr:row>
      <xdr:rowOff>63720</xdr:rowOff>
    </xdr:from>
    <xdr:to>
      <xdr:col>2</xdr:col>
      <xdr:colOff>223920</xdr:colOff>
      <xdr:row>32</xdr:row>
      <xdr:rowOff>34560</xdr:rowOff>
    </xdr:to>
    <xdr:pic>
      <xdr:nvPicPr>
        <xdr:cNvPr id="29" name="Image 21" descr=""/>
        <xdr:cNvPicPr/>
      </xdr:nvPicPr>
      <xdr:blipFill>
        <a:blip r:embed="rId13"/>
        <a:stretch/>
      </xdr:blipFill>
      <xdr:spPr>
        <a:xfrm>
          <a:off x="1361880" y="5778720"/>
          <a:ext cx="237600" cy="351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34200</xdr:rowOff>
    </xdr:from>
    <xdr:to>
      <xdr:col>18</xdr:col>
      <xdr:colOff>554760</xdr:colOff>
      <xdr:row>36</xdr:row>
      <xdr:rowOff>10440</xdr:rowOff>
    </xdr:to>
    <xdr:graphicFrame>
      <xdr:nvGraphicFramePr>
        <xdr:cNvPr id="30" name="Диаграмма 1"/>
        <xdr:cNvGraphicFramePr/>
      </xdr:nvGraphicFramePr>
      <xdr:xfrm>
        <a:off x="57240" y="34200"/>
        <a:ext cx="12876120" cy="68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144720</xdr:rowOff>
    </xdr:from>
    <xdr:to>
      <xdr:col>2</xdr:col>
      <xdr:colOff>513000</xdr:colOff>
      <xdr:row>2</xdr:row>
      <xdr:rowOff>6480</xdr:rowOff>
    </xdr:to>
    <xdr:sp>
      <xdr:nvSpPr>
        <xdr:cNvPr id="31" name="Object 1"/>
        <xdr:cNvSpPr/>
      </xdr:nvSpPr>
      <xdr:spPr>
        <a:xfrm>
          <a:off x="0" y="144720"/>
          <a:ext cx="2113200" cy="242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_т^′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15120</xdr:colOff>
      <xdr:row>0</xdr:row>
      <xdr:rowOff>144720</xdr:rowOff>
    </xdr:from>
    <xdr:to>
      <xdr:col>2</xdr:col>
      <xdr:colOff>22320</xdr:colOff>
      <xdr:row>2</xdr:row>
      <xdr:rowOff>158040</xdr:rowOff>
    </xdr:to>
    <xdr:sp>
      <xdr:nvSpPr>
        <xdr:cNvPr id="32" name="Object 1"/>
        <xdr:cNvSpPr/>
      </xdr:nvSpPr>
      <xdr:spPr>
        <a:xfrm>
          <a:off x="803880" y="144720"/>
          <a:ext cx="818640" cy="394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_4^′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0</xdr:colOff>
      <xdr:row>0</xdr:row>
      <xdr:rowOff>144720</xdr:rowOff>
    </xdr:from>
    <xdr:to>
      <xdr:col>3</xdr:col>
      <xdr:colOff>281520</xdr:colOff>
      <xdr:row>1</xdr:row>
      <xdr:rowOff>167400</xdr:rowOff>
    </xdr:to>
    <xdr:sp>
      <xdr:nvSpPr>
        <xdr:cNvPr id="33" name="Object 1"/>
        <xdr:cNvSpPr/>
      </xdr:nvSpPr>
      <xdr:spPr>
        <a:xfrm>
          <a:off x="1600200" y="144720"/>
          <a:ext cx="1070280" cy="2131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_8^′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oneCell">
    <xdr:from>
      <xdr:col>9</xdr:col>
      <xdr:colOff>135360</xdr:colOff>
      <xdr:row>1</xdr:row>
      <xdr:rowOff>3960</xdr:rowOff>
    </xdr:from>
    <xdr:to>
      <xdr:col>9</xdr:col>
      <xdr:colOff>518760</xdr:colOff>
      <xdr:row>1</xdr:row>
      <xdr:rowOff>144000</xdr:rowOff>
    </xdr:to>
    <xdr:sp>
      <xdr:nvSpPr>
        <xdr:cNvPr id="34" name="TextBox 11"/>
        <xdr:cNvSpPr/>
      </xdr:nvSpPr>
      <xdr:spPr>
        <a:xfrm>
          <a:off x="7099920" y="194400"/>
          <a:ext cx="3834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𝑥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_(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 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)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10</xdr:col>
      <xdr:colOff>158760</xdr:colOff>
      <xdr:row>1</xdr:row>
      <xdr:rowOff>7560</xdr:rowOff>
    </xdr:from>
    <xdr:to>
      <xdr:col>10</xdr:col>
      <xdr:colOff>389160</xdr:colOff>
      <xdr:row>1</xdr:row>
      <xdr:rowOff>147600</xdr:rowOff>
    </xdr:to>
    <xdr:sp>
      <xdr:nvSpPr>
        <xdr:cNvPr id="35" name="TextBox 13"/>
        <xdr:cNvSpPr/>
      </xdr:nvSpPr>
      <xdr:spPr>
        <a:xfrm>
          <a:off x="7811280" y="198000"/>
          <a:ext cx="230400" cy="140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chemeClr val="dk1"/>
              </a:solidFill>
              <a:latin typeface="Cambria Math"/>
            </a:rPr>
            <a:t>_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𝑖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3</xdr:row>
      <xdr:rowOff>144720</xdr:rowOff>
    </xdr:from>
    <xdr:to>
      <xdr:col>1</xdr:col>
      <xdr:colOff>106200</xdr:colOff>
      <xdr:row>6</xdr:row>
      <xdr:rowOff>181080</xdr:rowOff>
    </xdr:to>
    <xdr:sp>
      <xdr:nvSpPr>
        <xdr:cNvPr id="36" name="Object 1"/>
        <xdr:cNvSpPr/>
      </xdr:nvSpPr>
      <xdr:spPr>
        <a:xfrm>
          <a:off x="0" y="716400"/>
          <a:ext cx="894960" cy="607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^′</a:t>
          </a: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_т^′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15120</xdr:colOff>
      <xdr:row>3</xdr:row>
      <xdr:rowOff>144720</xdr:rowOff>
    </xdr:from>
    <xdr:to>
      <xdr:col>2</xdr:col>
      <xdr:colOff>212760</xdr:colOff>
      <xdr:row>4</xdr:row>
      <xdr:rowOff>190080</xdr:rowOff>
    </xdr:to>
    <xdr:sp>
      <xdr:nvSpPr>
        <xdr:cNvPr id="37" name="Object 1"/>
        <xdr:cNvSpPr/>
      </xdr:nvSpPr>
      <xdr:spPr>
        <a:xfrm>
          <a:off x="803880" y="716400"/>
          <a:ext cx="1009080" cy="235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^′</a:t>
          </a: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_4^′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0</xdr:colOff>
      <xdr:row>3</xdr:row>
      <xdr:rowOff>144720</xdr:rowOff>
    </xdr:from>
    <xdr:to>
      <xdr:col>3</xdr:col>
      <xdr:colOff>281520</xdr:colOff>
      <xdr:row>4</xdr:row>
      <xdr:rowOff>190080</xdr:rowOff>
    </xdr:to>
    <xdr:sp>
      <xdr:nvSpPr>
        <xdr:cNvPr id="38" name="Object 1"/>
        <xdr:cNvSpPr/>
      </xdr:nvSpPr>
      <xdr:spPr>
        <a:xfrm>
          <a:off x="1600200" y="716400"/>
          <a:ext cx="1070280" cy="235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^′</a:t>
          </a:r>
          <a:r>
            <a:rPr b="0" lang="zh-CN" sz="12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_8^′ (</a:t>
          </a:r>
          <a:r>
            <a:rPr b="0" lang="en-US" sz="1200" spc="-1" strike="noStrike">
              <a:solidFill>
                <a:srgbClr val="000000"/>
              </a:solidFill>
              <a:latin typeface="Cambria Math"/>
            </a:rPr>
            <a:t>−0</a:t>
          </a:r>
          <a:r>
            <a:rPr b="0" lang="ru-RU" sz="1200" spc="-1" strike="noStrike">
              <a:solidFill>
                <a:srgbClr val="000000"/>
              </a:solidFill>
              <a:latin typeface="Cambria Math"/>
            </a:rPr>
            <a:t>.5)</a:t>
          </a:r>
          <a:endParaRPr b="0" lang="ru-RU" sz="12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601920</xdr:colOff>
      <xdr:row>3</xdr:row>
      <xdr:rowOff>167760</xdr:rowOff>
    </xdr:from>
    <xdr:to>
      <xdr:col>4</xdr:col>
      <xdr:colOff>144360</xdr:colOff>
      <xdr:row>4</xdr:row>
      <xdr:rowOff>174960</xdr:rowOff>
    </xdr:to>
    <xdr:sp>
      <xdr:nvSpPr>
        <xdr:cNvPr id="39" name="Object 7"/>
        <xdr:cNvSpPr/>
      </xdr:nvSpPr>
      <xdr:spPr>
        <a:xfrm>
          <a:off x="2202120" y="739440"/>
          <a:ext cx="1154160" cy="197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𝑅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_4=|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8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_т^′−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8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_4^′ |</a:t>
          </a:r>
          <a:endParaRPr b="0" lang="ru-RU" sz="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640080</xdr:colOff>
      <xdr:row>3</xdr:row>
      <xdr:rowOff>167760</xdr:rowOff>
    </xdr:from>
    <xdr:to>
      <xdr:col>5</xdr:col>
      <xdr:colOff>403560</xdr:colOff>
      <xdr:row>5</xdr:row>
      <xdr:rowOff>99720</xdr:rowOff>
    </xdr:to>
    <xdr:sp>
      <xdr:nvSpPr>
        <xdr:cNvPr id="40" name="Object 8"/>
        <xdr:cNvSpPr/>
      </xdr:nvSpPr>
      <xdr:spPr>
        <a:xfrm>
          <a:off x="3029040" y="739440"/>
          <a:ext cx="1409400" cy="312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𝑅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_8=|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8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_т^′−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8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zh-CN" sz="8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_8^′ |</a:t>
          </a:r>
          <a:endParaRPr b="0" lang="ru-RU" sz="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663120</xdr:colOff>
      <xdr:row>3</xdr:row>
      <xdr:rowOff>160200</xdr:rowOff>
    </xdr:from>
    <xdr:to>
      <xdr:col>6</xdr:col>
      <xdr:colOff>327600</xdr:colOff>
      <xdr:row>5</xdr:row>
      <xdr:rowOff>144000</xdr:rowOff>
    </xdr:to>
    <xdr:sp>
      <xdr:nvSpPr>
        <xdr:cNvPr id="41" name="Object 9"/>
        <xdr:cNvSpPr/>
      </xdr:nvSpPr>
      <xdr:spPr>
        <a:xfrm>
          <a:off x="3875040" y="731880"/>
          <a:ext cx="1310400" cy="364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ru-RU" sz="900" spc="-1" strike="noStrike">
              <a:solidFill>
                <a:srgbClr val="000000"/>
              </a:solidFill>
              <a:latin typeface="Cambria Math"/>
            </a:rPr>
            <a:t>𝜀</a:t>
          </a:r>
          <a:r>
            <a:rPr b="0" lang="ru-RU" sz="900" spc="-1" strike="noStrike">
              <a:solidFill>
                <a:srgbClr val="000000"/>
              </a:solidFill>
              <a:latin typeface="Cambria Math"/>
            </a:rPr>
            <a:t>_4=𝑅_4/|</a:t>
          </a:r>
          <a:r>
            <a:rPr b="0" lang="zh-CN" sz="900" spc="-1" strike="noStrike">
              <a:solidFill>
                <a:srgbClr val="000000"/>
              </a:solidFill>
              <a:latin typeface="Cambria Math"/>
            </a:rPr>
            <a:t>〖𝑦</a:t>
          </a:r>
          <a:r>
            <a:rPr b="0" lang="en-US" sz="9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zh-CN" sz="900" spc="-1" strike="noStrike">
              <a:solidFill>
                <a:srgbClr val="000000"/>
              </a:solidFill>
              <a:latin typeface="Cambria Math"/>
            </a:rPr>
            <a:t>〗</a:t>
          </a:r>
          <a:r>
            <a:rPr b="0" lang="ru-RU" sz="900" spc="-1" strike="noStrike">
              <a:solidFill>
                <a:srgbClr val="000000"/>
              </a:solidFill>
              <a:latin typeface="Cambria Math"/>
            </a:rPr>
            <a:t>_т^′ |</a:t>
          </a:r>
          <a:endParaRPr b="0" lang="ru-RU" sz="9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606600</xdr:colOff>
      <xdr:row>3</xdr:row>
      <xdr:rowOff>152280</xdr:rowOff>
    </xdr:from>
    <xdr:to>
      <xdr:col>7</xdr:col>
      <xdr:colOff>142560</xdr:colOff>
      <xdr:row>4</xdr:row>
      <xdr:rowOff>153000</xdr:rowOff>
    </xdr:to>
    <xdr:sp>
      <xdr:nvSpPr>
        <xdr:cNvPr id="42" name="Object 10"/>
        <xdr:cNvSpPr/>
      </xdr:nvSpPr>
      <xdr:spPr>
        <a:xfrm>
          <a:off x="4641480" y="723960"/>
          <a:ext cx="1090440" cy="191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𝜀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_8=𝑅_8/|𝑦_е^</a:t>
          </a:r>
          <a:r>
            <a:rPr b="0" lang="en-US" sz="800" spc="-1" strike="noStrike">
              <a:solidFill>
                <a:srgbClr val="000000"/>
              </a:solidFill>
              <a:latin typeface="Cambria Math"/>
            </a:rPr>
            <a:t>′</a:t>
          </a:r>
          <a:r>
            <a:rPr b="0" lang="ru-RU" sz="800" spc="-1" strike="noStrike">
              <a:solidFill>
                <a:srgbClr val="000000"/>
              </a:solidFill>
              <a:latin typeface="Cambria Math"/>
            </a:rPr>
            <a:t>′ |</a:t>
          </a:r>
          <a:endParaRPr b="0" lang="ru-RU" sz="8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O35" activeCellId="0" sqref="O35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10.29"/>
    <col collapsed="false" customWidth="true" hidden="false" outlineLevel="0" max="7" min="7" style="0" width="8.86"/>
    <col collapsed="false" customWidth="true" hidden="false" outlineLevel="0" max="11" min="11" style="0" width="10.25"/>
  </cols>
  <sheetData>
    <row r="1" customFormat="false" ht="23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1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n">
        <v>0</v>
      </c>
      <c r="H2" s="3" t="n">
        <v>0</v>
      </c>
      <c r="I2" s="2" t="s">
        <v>7</v>
      </c>
      <c r="J2" s="2" t="s">
        <v>8</v>
      </c>
      <c r="K2" s="2" t="s">
        <v>9</v>
      </c>
    </row>
    <row r="3" customFormat="false" ht="15" hidden="false" customHeight="false" outlineLevel="0" collapsed="false">
      <c r="A3" s="4" t="n">
        <v>0</v>
      </c>
      <c r="B3" s="5" t="n">
        <v>-1</v>
      </c>
      <c r="C3" s="6" t="n">
        <v>0</v>
      </c>
      <c r="D3" s="6" t="n">
        <v>-1</v>
      </c>
      <c r="E3" s="6" t="n">
        <v>0</v>
      </c>
      <c r="F3" s="7" t="n">
        <v>2</v>
      </c>
      <c r="G3" s="7" t="n">
        <f aca="false">E3/(D3-C3*G2)</f>
        <v>-0</v>
      </c>
      <c r="H3" s="7" t="n">
        <f aca="false">((C3*H2)-F3)/(D3-C3*G2)</f>
        <v>2</v>
      </c>
      <c r="I3" s="7" t="n">
        <f aca="false">(G3*I4)+H3</f>
        <v>2</v>
      </c>
      <c r="J3" s="7" t="n">
        <f aca="false">((B3)^4)+1</f>
        <v>2</v>
      </c>
      <c r="K3" s="7" t="n">
        <f aca="false">ABS(I3-J3)</f>
        <v>0</v>
      </c>
    </row>
    <row r="4" customFormat="false" ht="15" hidden="false" customHeight="false" outlineLevel="0" collapsed="false">
      <c r="A4" s="4" t="n">
        <v>1</v>
      </c>
      <c r="B4" s="5" t="n">
        <v>-0.75</v>
      </c>
      <c r="C4" s="6" t="n">
        <v>40</v>
      </c>
      <c r="D4" s="6" t="n">
        <v>64</v>
      </c>
      <c r="E4" s="6" t="n">
        <v>88</v>
      </c>
      <c r="F4" s="8" t="n">
        <v>91</v>
      </c>
      <c r="G4" s="7" t="n">
        <f aca="false">E4/(D4-C4*G3)</f>
        <v>1.375</v>
      </c>
      <c r="H4" s="7" t="n">
        <f aca="false">((C4*H3)-F4)/(D4-C4*G3)</f>
        <v>-0.171875</v>
      </c>
      <c r="I4" s="7" t="n">
        <f aca="false">(G4*I5)+H4</f>
        <v>2.11948029891305</v>
      </c>
      <c r="J4" s="7" t="n">
        <f aca="false">((B4)^4)+1</f>
        <v>1.31640625</v>
      </c>
      <c r="K4" s="7" t="n">
        <f aca="false">ABS(I4-J4)</f>
        <v>0.803074048913054</v>
      </c>
    </row>
    <row r="5" customFormat="false" ht="15" hidden="false" customHeight="false" outlineLevel="0" collapsed="false">
      <c r="A5" s="4" t="n">
        <v>2</v>
      </c>
      <c r="B5" s="5" t="n">
        <v>-0.5</v>
      </c>
      <c r="C5" s="6" t="n">
        <v>12</v>
      </c>
      <c r="D5" s="6" t="n">
        <v>16</v>
      </c>
      <c r="E5" s="6" t="n">
        <v>20</v>
      </c>
      <c r="F5" s="8" t="n">
        <v>19</v>
      </c>
      <c r="G5" s="7" t="n">
        <f aca="false">E5/(D5-C5*G4)</f>
        <v>-40</v>
      </c>
      <c r="H5" s="7" t="n">
        <f aca="false">((C5*H4)-F5)/(D5-C5*G4)</f>
        <v>42.125</v>
      </c>
      <c r="I5" s="7" t="n">
        <f aca="false">(G5*I6)+H5</f>
        <v>1.66644021739131</v>
      </c>
      <c r="J5" s="7" t="n">
        <f aca="false">((B5)^4)+1</f>
        <v>1.0625</v>
      </c>
      <c r="K5" s="7" t="n">
        <f aca="false">ABS(I5-J5)</f>
        <v>0.603940217391312</v>
      </c>
    </row>
    <row r="6" customFormat="false" ht="15" hidden="false" customHeight="false" outlineLevel="0" collapsed="false">
      <c r="A6" s="4" t="n">
        <v>3</v>
      </c>
      <c r="B6" s="5" t="n">
        <v>-0.25</v>
      </c>
      <c r="C6" s="6" t="n">
        <v>40</v>
      </c>
      <c r="D6" s="6" t="n">
        <v>64</v>
      </c>
      <c r="E6" s="6" t="n">
        <v>88</v>
      </c>
      <c r="F6" s="8" t="n">
        <v>91</v>
      </c>
      <c r="G6" s="7" t="n">
        <f aca="false">E6/(D6-C6*G5)</f>
        <v>0.0528846153846154</v>
      </c>
      <c r="H6" s="7" t="n">
        <f aca="false">((C6*H5)-F6)/(D6-C6*G5)</f>
        <v>0.957932692307692</v>
      </c>
      <c r="I6" s="7" t="n">
        <f aca="false">(G6*I7)+H6</f>
        <v>1.01146399456522</v>
      </c>
      <c r="J6" s="7" t="n">
        <f aca="false">((B6)^4)+1</f>
        <v>1.00390625</v>
      </c>
      <c r="K6" s="7" t="n">
        <f aca="false">ABS(I6-J6)</f>
        <v>0.0075577445652173</v>
      </c>
    </row>
    <row r="7" customFormat="false" ht="15" hidden="false" customHeight="false" outlineLevel="0" collapsed="false">
      <c r="A7" s="9" t="n">
        <v>4</v>
      </c>
      <c r="B7" s="10" t="n">
        <v>0</v>
      </c>
      <c r="C7" s="11" t="n">
        <v>16</v>
      </c>
      <c r="D7" s="11" t="n">
        <v>15</v>
      </c>
      <c r="E7" s="11" t="n">
        <v>0</v>
      </c>
      <c r="F7" s="12" t="n">
        <v>1</v>
      </c>
      <c r="G7" s="13" t="n">
        <f aca="false">E7/(D7-C7*G6)</f>
        <v>0</v>
      </c>
      <c r="H7" s="13" t="n">
        <f aca="false">((C7*H6)-F7)/(D7-C7*G6)</f>
        <v>1.01222826086957</v>
      </c>
      <c r="I7" s="13" t="n">
        <f aca="false">(G7*I10)+H7</f>
        <v>1.01222826086957</v>
      </c>
      <c r="J7" s="13" t="n">
        <f aca="false">((B7)^4)+1</f>
        <v>1</v>
      </c>
      <c r="K7" s="13" t="n">
        <f aca="false">ABS(I7-J7)</f>
        <v>0.0122282608695652</v>
      </c>
    </row>
    <row r="8" customFormat="false" ht="15" hidden="false" customHeight="false" outlineLevel="0" collapsed="false">
      <c r="A8" s="14"/>
      <c r="B8" s="15"/>
      <c r="C8" s="16"/>
      <c r="D8" s="16"/>
      <c r="E8" s="16"/>
      <c r="F8" s="17"/>
      <c r="G8" s="18"/>
      <c r="H8" s="18"/>
      <c r="I8" s="18"/>
      <c r="J8" s="18"/>
      <c r="K8" s="18"/>
    </row>
    <row r="9" customFormat="false" ht="11.9" hidden="false" customHeight="true" outlineLevel="0" collapsed="false">
      <c r="A9" s="19"/>
      <c r="B9" s="20"/>
      <c r="C9" s="21"/>
      <c r="D9" s="21"/>
      <c r="E9" s="21"/>
      <c r="F9" s="22"/>
      <c r="G9" s="23"/>
      <c r="H9" s="23"/>
      <c r="I9" s="23"/>
      <c r="J9" s="23"/>
      <c r="K9" s="23"/>
    </row>
    <row r="10" customFormat="false" ht="27.6" hidden="false" customHeight="true" outlineLevel="0" collapsed="false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28.35" hidden="false" customHeight="true" outlineLevel="0" collapsed="false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3" t="n">
        <v>0</v>
      </c>
      <c r="H11" s="3" t="n">
        <v>0</v>
      </c>
      <c r="I11" s="2" t="s">
        <v>7</v>
      </c>
      <c r="J11" s="2" t="s">
        <v>8</v>
      </c>
      <c r="K11" s="2" t="s">
        <v>9</v>
      </c>
    </row>
    <row r="12" customFormat="false" ht="15" hidden="false" customHeight="false" outlineLevel="0" collapsed="false">
      <c r="A12" s="4" t="n">
        <v>0</v>
      </c>
      <c r="B12" s="24" t="n">
        <v>-1</v>
      </c>
      <c r="C12" s="25" t="n">
        <v>0</v>
      </c>
      <c r="D12" s="25" t="n">
        <v>-1</v>
      </c>
      <c r="E12" s="25" t="n">
        <v>0</v>
      </c>
      <c r="F12" s="26" t="n">
        <v>2</v>
      </c>
      <c r="G12" s="7" t="n">
        <f aca="false">E12/(D12-C12*G10)</f>
        <v>-0</v>
      </c>
      <c r="H12" s="7" t="n">
        <f aca="false">((C12*H10)-F12)/(D12-C12*G10)</f>
        <v>2</v>
      </c>
      <c r="I12" s="7" t="n">
        <f aca="false">(G12*I13)+H12</f>
        <v>2</v>
      </c>
      <c r="J12" s="7" t="n">
        <f aca="false">((B12)^4)+1</f>
        <v>2</v>
      </c>
      <c r="K12" s="7" t="n">
        <f aca="false">ABS(I12-J12)</f>
        <v>0</v>
      </c>
    </row>
    <row r="13" customFormat="false" ht="15" hidden="false" customHeight="false" outlineLevel="0" collapsed="false">
      <c r="A13" s="4" t="n">
        <v>1</v>
      </c>
      <c r="B13" s="24" t="n">
        <v>-0.875</v>
      </c>
      <c r="C13" s="25" t="n">
        <v>800</v>
      </c>
      <c r="D13" s="25" t="n">
        <v>1792</v>
      </c>
      <c r="E13" s="25" t="n">
        <v>1248</v>
      </c>
      <c r="F13" s="26" t="n">
        <v>403</v>
      </c>
      <c r="G13" s="7" t="n">
        <f aca="false">E13/(D13-C13*G12)</f>
        <v>0.696428571428571</v>
      </c>
      <c r="H13" s="7" t="n">
        <f aca="false">((C13*H12)-F13)/(D13-C13*G12)</f>
        <v>0.66796875</v>
      </c>
      <c r="I13" s="7" t="n">
        <f aca="false">(G13*I14)+H13</f>
        <v>1.57607276611698</v>
      </c>
      <c r="J13" s="7" t="n">
        <f aca="false">((B13)^4)+1</f>
        <v>1.586181640625</v>
      </c>
      <c r="K13" s="7" t="n">
        <f aca="false">ABS(I13-J13)</f>
        <v>0.0101088745080165</v>
      </c>
      <c r="N13" s="27"/>
    </row>
    <row r="14" customFormat="false" ht="15" hidden="false" customHeight="false" outlineLevel="0" collapsed="false">
      <c r="A14" s="4" t="n">
        <v>2</v>
      </c>
      <c r="B14" s="24" t="n">
        <v>-0.75</v>
      </c>
      <c r="C14" s="25" t="n">
        <v>208</v>
      </c>
      <c r="D14" s="25" t="n">
        <v>448</v>
      </c>
      <c r="E14" s="25" t="n">
        <v>304</v>
      </c>
      <c r="F14" s="26" t="n">
        <v>91</v>
      </c>
      <c r="G14" s="7" t="n">
        <f aca="false">E14/(D14-C14*G13)</f>
        <v>1.00282752120641</v>
      </c>
      <c r="H14" s="7" t="n">
        <f aca="false">((C14*H13)-F14)/(D14-C14*G13)</f>
        <v>0.158135014137606</v>
      </c>
      <c r="I14" s="7" t="n">
        <f aca="false">(G14*I15)+H14</f>
        <v>1.30394422827054</v>
      </c>
      <c r="J14" s="7" t="n">
        <f aca="false">((B14)^4)+1</f>
        <v>1.31640625</v>
      </c>
      <c r="K14" s="7" t="n">
        <f aca="false">ABS(I14-J14)</f>
        <v>0.0124620217294593</v>
      </c>
    </row>
    <row r="15" customFormat="false" ht="15" hidden="false" customHeight="false" outlineLevel="0" collapsed="false">
      <c r="A15" s="4" t="n">
        <v>3</v>
      </c>
      <c r="B15" s="24" t="n">
        <v>-0.625</v>
      </c>
      <c r="C15" s="25" t="n">
        <v>864</v>
      </c>
      <c r="D15" s="25" t="n">
        <v>1792</v>
      </c>
      <c r="E15" s="25" t="n">
        <v>1184</v>
      </c>
      <c r="F15" s="26" t="n">
        <v>331</v>
      </c>
      <c r="G15" s="7" t="n">
        <f aca="false">E15/(D15-C15*G14)</f>
        <v>1.27922966631908</v>
      </c>
      <c r="H15" s="7" t="n">
        <f aca="false">((C15*H14)-F15)/(D15-C15*G14)</f>
        <v>-0.210004724973931</v>
      </c>
      <c r="I15" s="7" t="n">
        <f aca="false">(G15*I16)+H15</f>
        <v>1.14257854905549</v>
      </c>
      <c r="J15" s="7" t="n">
        <f aca="false">((B15)^4)+1</f>
        <v>1.152587890625</v>
      </c>
      <c r="K15" s="7" t="n">
        <f aca="false">ABS(I15-J15)</f>
        <v>0.0100093415695079</v>
      </c>
    </row>
    <row r="16" customFormat="false" ht="15" hidden="false" customHeight="false" outlineLevel="0" collapsed="false">
      <c r="A16" s="4" t="n">
        <v>4</v>
      </c>
      <c r="B16" s="24" t="n">
        <v>-0.5</v>
      </c>
      <c r="C16" s="25" t="n">
        <v>56</v>
      </c>
      <c r="D16" s="25" t="n">
        <v>112</v>
      </c>
      <c r="E16" s="25" t="n">
        <v>72</v>
      </c>
      <c r="F16" s="26" t="n">
        <v>19</v>
      </c>
      <c r="G16" s="7" t="n">
        <f aca="false">E16/(D16-C16*G15)</f>
        <v>1.78380577783806</v>
      </c>
      <c r="H16" s="7" t="n">
        <f aca="false">((C16*H15)-F16)/(D16-C16*G15)</f>
        <v>-0.76208802387088</v>
      </c>
      <c r="I16" s="7" t="n">
        <f aca="false">(G16*I17)+H16</f>
        <v>1.05734201577846</v>
      </c>
      <c r="J16" s="7" t="n">
        <f aca="false">((B16)^4)+1</f>
        <v>1.0625</v>
      </c>
      <c r="K16" s="7" t="n">
        <f aca="false">ABS(I16-J16)</f>
        <v>0.00515798422154168</v>
      </c>
    </row>
    <row r="17" customFormat="false" ht="15" hidden="false" customHeight="false" outlineLevel="0" collapsed="false">
      <c r="A17" s="4" t="n">
        <v>5</v>
      </c>
      <c r="B17" s="24" t="n">
        <v>-0.375</v>
      </c>
      <c r="C17" s="25" t="n">
        <v>928</v>
      </c>
      <c r="D17" s="25" t="n">
        <v>1792</v>
      </c>
      <c r="E17" s="25" t="n">
        <v>1120</v>
      </c>
      <c r="F17" s="26" t="n">
        <v>283</v>
      </c>
      <c r="G17" s="7" t="n">
        <f aca="false">E17/(D17-C17*G16)</f>
        <v>8.19742693773826</v>
      </c>
      <c r="H17" s="7" t="n">
        <f aca="false">((C17*H16)-F17)/(D17-C17*G16)</f>
        <v>-7.24753315597205</v>
      </c>
      <c r="I17" s="7" t="n">
        <f aca="false">(G17*I18)+H17</f>
        <v>1.01997093083444</v>
      </c>
      <c r="J17" s="7" t="n">
        <f aca="false">((B17)^4)+1</f>
        <v>1.019775390625</v>
      </c>
      <c r="K17" s="7" t="n">
        <f aca="false">ABS(I17-J17)</f>
        <v>0.000195540209441347</v>
      </c>
    </row>
    <row r="18" customFormat="false" ht="15" hidden="false" customHeight="false" outlineLevel="0" collapsed="false">
      <c r="A18" s="4" t="n">
        <v>6</v>
      </c>
      <c r="B18" s="24" t="n">
        <v>-0.25</v>
      </c>
      <c r="C18" s="25" t="n">
        <v>240</v>
      </c>
      <c r="D18" s="25" t="n">
        <v>448</v>
      </c>
      <c r="E18" s="25" t="n">
        <v>272</v>
      </c>
      <c r="F18" s="26" t="n">
        <v>67</v>
      </c>
      <c r="G18" s="7" t="n">
        <f aca="false">E18/(D18-C18*G17)</f>
        <v>-0.179020099451894</v>
      </c>
      <c r="H18" s="7" t="n">
        <f aca="false">((C18*H17)-F18)/(D18-C18*G17)</f>
        <v>1.18890930952353</v>
      </c>
      <c r="I18" s="7" t="n">
        <f aca="false">(G18*I19)+H18</f>
        <v>1.00854867626153</v>
      </c>
      <c r="J18" s="7" t="n">
        <f aca="false">((B18)^4)+1</f>
        <v>1.00390625</v>
      </c>
      <c r="K18" s="7" t="n">
        <f aca="false">ABS(I18-J18)</f>
        <v>0.00464242626152633</v>
      </c>
    </row>
    <row r="19" customFormat="false" ht="15" hidden="false" customHeight="false" outlineLevel="0" collapsed="false">
      <c r="A19" s="4" t="n">
        <v>7</v>
      </c>
      <c r="B19" s="24" t="n">
        <v>-0.125</v>
      </c>
      <c r="C19" s="25" t="n">
        <v>992</v>
      </c>
      <c r="D19" s="25" t="n">
        <v>1792</v>
      </c>
      <c r="E19" s="25" t="n">
        <v>1056</v>
      </c>
      <c r="F19" s="26" t="n">
        <v>259</v>
      </c>
      <c r="G19" s="7" t="n">
        <f aca="false">E19/(D19-C19*G18)</f>
        <v>0.536152755240997</v>
      </c>
      <c r="H19" s="7" t="n">
        <f aca="false">((C19*H18)-F19)/(D19-C19*G18)</f>
        <v>0.467304869705523</v>
      </c>
      <c r="I19" s="7" t="n">
        <f aca="false">(G19*I20)+H19</f>
        <v>1.00748817487095</v>
      </c>
      <c r="J19" s="7" t="n">
        <f aca="false">((B19)^4)+1</f>
        <v>1.000244140625</v>
      </c>
      <c r="K19" s="7" t="n">
        <f aca="false">ABS(I19-J19)</f>
        <v>0.00724403424594766</v>
      </c>
    </row>
    <row r="20" customFormat="false" ht="15" hidden="false" customHeight="false" outlineLevel="0" collapsed="false">
      <c r="A20" s="4" t="n">
        <v>8</v>
      </c>
      <c r="B20" s="24" t="n">
        <v>0</v>
      </c>
      <c r="C20" s="25" t="n">
        <v>256</v>
      </c>
      <c r="D20" s="25" t="n">
        <v>255</v>
      </c>
      <c r="E20" s="25" t="n">
        <v>0</v>
      </c>
      <c r="F20" s="26" t="n">
        <v>1</v>
      </c>
      <c r="G20" s="7" t="n">
        <f aca="false">E20/(D20-C20*G19)</f>
        <v>0</v>
      </c>
      <c r="H20" s="7" t="n">
        <f aca="false">((C20*H19)-F20)/(D20-C20*G19)</f>
        <v>1.0075175402626</v>
      </c>
      <c r="I20" s="7" t="n">
        <f aca="false">(G20*I24)+H20</f>
        <v>1.0075175402626</v>
      </c>
      <c r="J20" s="7" t="n">
        <f aca="false">((B20)^4)+1</f>
        <v>1</v>
      </c>
      <c r="K20" s="7" t="n">
        <f aca="false">ABS(I20-J20)</f>
        <v>0.00751754026259843</v>
      </c>
    </row>
    <row r="21" customFormat="false" ht="15" hidden="false" customHeight="false" outlineLevel="0" collapsed="false">
      <c r="A21" s="14"/>
      <c r="B21" s="28"/>
      <c r="C21" s="29"/>
      <c r="D21" s="29"/>
      <c r="E21" s="29"/>
      <c r="F21" s="30"/>
      <c r="G21" s="18"/>
      <c r="H21" s="18"/>
      <c r="I21" s="18"/>
      <c r="J21" s="18"/>
      <c r="K21" s="18"/>
    </row>
    <row r="22" customFormat="false" ht="15" hidden="false" customHeight="false" outlineLevel="0" collapsed="false">
      <c r="A22" s="19"/>
      <c r="B22" s="31"/>
      <c r="C22" s="32"/>
      <c r="D22" s="32"/>
      <c r="E22" s="32"/>
      <c r="F22" s="33"/>
      <c r="G22" s="23"/>
      <c r="H22" s="23"/>
      <c r="I22" s="23"/>
      <c r="J22" s="23"/>
      <c r="K22" s="23"/>
      <c r="P22" s="34"/>
      <c r="Q22" s="34"/>
      <c r="R22" s="34"/>
      <c r="S22" s="34"/>
      <c r="T22" s="34"/>
      <c r="U22" s="34"/>
    </row>
    <row r="23" customFormat="false" ht="15" hidden="false" customHeight="false" outlineLevel="0" collapsed="false">
      <c r="A23" s="19"/>
      <c r="B23" s="31"/>
      <c r="C23" s="32"/>
      <c r="D23" s="32"/>
      <c r="E23" s="32"/>
      <c r="F23" s="33"/>
      <c r="G23" s="23"/>
      <c r="H23" s="23"/>
      <c r="I23" s="23"/>
      <c r="J23" s="23"/>
      <c r="K23" s="23"/>
      <c r="P23" s="34"/>
      <c r="Q23" s="34"/>
      <c r="R23" s="34"/>
      <c r="S23" s="34"/>
      <c r="T23" s="34"/>
      <c r="U23" s="34"/>
    </row>
    <row r="24" customFormat="false" ht="17.35" hidden="false" customHeight="false" outlineLevel="0" collapsed="false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35"/>
      <c r="O24" s="21"/>
      <c r="P24" s="21"/>
      <c r="Q24" s="21"/>
      <c r="R24" s="34"/>
      <c r="S24" s="36"/>
      <c r="T24" s="36"/>
      <c r="U24" s="23"/>
    </row>
    <row r="25" customFormat="false" ht="21.6" hidden="false" customHeight="true" outlineLevel="0" collapsed="false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3" t="n">
        <v>0</v>
      </c>
      <c r="H25" s="3" t="n">
        <v>0</v>
      </c>
      <c r="I25" s="2" t="s">
        <v>7</v>
      </c>
      <c r="J25" s="2" t="s">
        <v>8</v>
      </c>
      <c r="K25" s="2" t="s">
        <v>9</v>
      </c>
      <c r="P25" s="21"/>
      <c r="Q25" s="21"/>
      <c r="R25" s="21"/>
      <c r="S25" s="36"/>
      <c r="T25" s="36"/>
      <c r="U25" s="22"/>
    </row>
    <row r="26" customFormat="false" ht="15" hidden="false" customHeight="false" outlineLevel="0" collapsed="false">
      <c r="A26" s="4" t="n">
        <v>0</v>
      </c>
      <c r="B26" s="5" t="n">
        <v>-1</v>
      </c>
      <c r="C26" s="6" t="n">
        <v>0</v>
      </c>
      <c r="D26" s="6" t="n">
        <v>-1</v>
      </c>
      <c r="E26" s="6" t="n">
        <v>0</v>
      </c>
      <c r="F26" s="7" t="n">
        <v>2</v>
      </c>
      <c r="G26" s="7" t="n">
        <f aca="false">E26/(D26-C26*G25)</f>
        <v>-0</v>
      </c>
      <c r="H26" s="7" t="n">
        <f aca="false">((C26*H25)-F26)/(D26-C26*G25)</f>
        <v>2</v>
      </c>
      <c r="I26" s="7" t="n">
        <f aca="false">(G26*I27)+H26</f>
        <v>2</v>
      </c>
      <c r="J26" s="7" t="n">
        <f aca="false">((B26)^4)+1</f>
        <v>2</v>
      </c>
      <c r="K26" s="7" t="n">
        <f aca="false">ABS(I26-J26)</f>
        <v>0</v>
      </c>
      <c r="P26" s="34"/>
      <c r="Q26" s="21"/>
      <c r="R26" s="21"/>
      <c r="S26" s="21"/>
      <c r="T26" s="36"/>
      <c r="U26" s="22"/>
    </row>
    <row r="27" customFormat="false" ht="15" hidden="false" customHeight="false" outlineLevel="0" collapsed="false">
      <c r="A27" s="4" t="n">
        <v>1</v>
      </c>
      <c r="B27" s="5" t="n">
        <v>-0.75</v>
      </c>
      <c r="C27" s="6" t="n">
        <v>40</v>
      </c>
      <c r="D27" s="6" t="n">
        <v>64</v>
      </c>
      <c r="E27" s="6" t="n">
        <v>88</v>
      </c>
      <c r="F27" s="8" t="n">
        <v>91</v>
      </c>
      <c r="G27" s="7" t="n">
        <f aca="false">E27/(D27-C27*G26)</f>
        <v>1.375</v>
      </c>
      <c r="H27" s="7" t="n">
        <f aca="false">((C27*H26)-F27)/(D27-C27*G26)</f>
        <v>-0.171875</v>
      </c>
      <c r="I27" s="7" t="n">
        <f aca="false">(G27*I28)+H27</f>
        <v>5.59950657894737</v>
      </c>
      <c r="J27" s="7" t="n">
        <f aca="false">((B27)^4)+1</f>
        <v>1.31640625</v>
      </c>
      <c r="K27" s="7" t="n">
        <f aca="false">ABS(I27-J27)</f>
        <v>4.28310032894737</v>
      </c>
      <c r="P27" s="34"/>
      <c r="Q27" s="36"/>
      <c r="R27" s="21"/>
      <c r="S27" s="21"/>
      <c r="T27" s="21"/>
      <c r="U27" s="22"/>
    </row>
    <row r="28" customFormat="false" ht="15" hidden="false" customHeight="false" outlineLevel="0" collapsed="false">
      <c r="A28" s="4" t="n">
        <v>2</v>
      </c>
      <c r="B28" s="5" t="n">
        <v>-0.5</v>
      </c>
      <c r="C28" s="6" t="n">
        <v>12</v>
      </c>
      <c r="D28" s="6" t="n">
        <v>16</v>
      </c>
      <c r="E28" s="6" t="n">
        <v>20</v>
      </c>
      <c r="F28" s="8" t="n">
        <v>19</v>
      </c>
      <c r="G28" s="7" t="n">
        <f aca="false">E28/(D28-C28*G27)</f>
        <v>-40</v>
      </c>
      <c r="H28" s="7" t="n">
        <f aca="false">((C28*H27)-F28)/(D28-C28*G27)</f>
        <v>42.125</v>
      </c>
      <c r="I28" s="7" t="n">
        <f aca="false">(G28*I29)+H28</f>
        <v>4.19736842105263</v>
      </c>
      <c r="J28" s="7" t="n">
        <f aca="false">((B28)^4)+1</f>
        <v>1.0625</v>
      </c>
      <c r="K28" s="7" t="n">
        <f aca="false">ABS(I28-J28)</f>
        <v>3.13486842105263</v>
      </c>
      <c r="P28" s="34"/>
      <c r="Q28" s="36"/>
      <c r="R28" s="36"/>
      <c r="S28" s="21"/>
      <c r="T28" s="21"/>
      <c r="U28" s="22"/>
    </row>
    <row r="29" customFormat="false" ht="15" hidden="false" customHeight="false" outlineLevel="0" collapsed="false">
      <c r="A29" s="4" t="n">
        <v>3</v>
      </c>
      <c r="B29" s="5" t="n">
        <v>-0.25</v>
      </c>
      <c r="C29" s="6" t="n">
        <v>40</v>
      </c>
      <c r="D29" s="6" t="n">
        <v>64</v>
      </c>
      <c r="E29" s="6" t="n">
        <v>88</v>
      </c>
      <c r="F29" s="8" t="n">
        <v>91</v>
      </c>
      <c r="G29" s="7" t="n">
        <f aca="false">E29/(D29-C29*G28)</f>
        <v>0.0528846153846154</v>
      </c>
      <c r="H29" s="7" t="n">
        <f aca="false">((C29*H28)-F29)/(D29-C29*G28)</f>
        <v>0.957932692307692</v>
      </c>
      <c r="I29" s="7" t="n">
        <f aca="false">(G29*I30)+H29</f>
        <v>0.948190789473684</v>
      </c>
      <c r="J29" s="7" t="n">
        <f aca="false">((B29)^4)+1</f>
        <v>1.00390625</v>
      </c>
      <c r="K29" s="7" t="n">
        <f aca="false">ABS(I29-J29)</f>
        <v>0.0557154605263158</v>
      </c>
    </row>
    <row r="30" customFormat="false" ht="15" hidden="false" customHeight="false" outlineLevel="0" collapsed="false">
      <c r="A30" s="4" t="n">
        <v>4</v>
      </c>
      <c r="B30" s="5" t="n">
        <v>0</v>
      </c>
      <c r="C30" s="11" t="n">
        <v>96</v>
      </c>
      <c r="D30" s="11" t="n">
        <v>27</v>
      </c>
      <c r="E30" s="11" t="n">
        <v>0</v>
      </c>
      <c r="F30" s="12" t="n">
        <v>96</v>
      </c>
      <c r="G30" s="7" t="n">
        <f aca="false">E30/(D30-C30*G29)</f>
        <v>0</v>
      </c>
      <c r="H30" s="7" t="n">
        <f aca="false">((C30*H29)-F30)/(D30-C30*G29)</f>
        <v>-0.18421052631579</v>
      </c>
      <c r="I30" s="7" t="n">
        <f aca="false">(G30*I33)+H30</f>
        <v>-0.18421052631579</v>
      </c>
      <c r="J30" s="7" t="n">
        <f aca="false">((B30)^4)+1</f>
        <v>1</v>
      </c>
      <c r="K30" s="7" t="n">
        <f aca="false">ABS(I30-J30)</f>
        <v>1.18421052631579</v>
      </c>
    </row>
    <row r="31" customFormat="false" ht="15" hidden="false" customHeight="false" outlineLevel="0" collapsed="false">
      <c r="A31" s="14"/>
      <c r="B31" s="15"/>
      <c r="C31" s="16"/>
      <c r="D31" s="16"/>
      <c r="E31" s="16"/>
      <c r="F31" s="17"/>
      <c r="G31" s="18"/>
      <c r="H31" s="18"/>
      <c r="I31" s="18"/>
      <c r="J31" s="18"/>
      <c r="K31" s="18"/>
    </row>
    <row r="32" customFormat="false" ht="15" hidden="false" customHeight="false" outlineLevel="0" collapsed="false">
      <c r="A32" s="19"/>
      <c r="B32" s="20"/>
      <c r="C32" s="21"/>
      <c r="D32" s="21"/>
      <c r="E32" s="21"/>
      <c r="F32" s="22"/>
      <c r="G32" s="23"/>
      <c r="H32" s="23"/>
      <c r="I32" s="23"/>
      <c r="J32" s="23"/>
      <c r="K32" s="23"/>
    </row>
    <row r="33" customFormat="false" ht="15.95" hidden="false" customHeight="false" outlineLevel="0" collapsed="false">
      <c r="A33" s="1" t="s">
        <v>12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25.35" hidden="false" customHeight="true" outlineLevel="0" collapsed="false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3" t="n">
        <v>0</v>
      </c>
      <c r="H34" s="3" t="n">
        <v>0</v>
      </c>
      <c r="I34" s="2" t="s">
        <v>7</v>
      </c>
      <c r="J34" s="2" t="s">
        <v>8</v>
      </c>
      <c r="K34" s="2" t="s">
        <v>9</v>
      </c>
    </row>
    <row r="35" customFormat="false" ht="15" hidden="false" customHeight="false" outlineLevel="0" collapsed="false">
      <c r="A35" s="4" t="n">
        <v>0</v>
      </c>
      <c r="B35" s="24" t="n">
        <v>-1</v>
      </c>
      <c r="C35" s="25" t="n">
        <v>0</v>
      </c>
      <c r="D35" s="25" t="n">
        <v>-1</v>
      </c>
      <c r="E35" s="25" t="n">
        <v>0</v>
      </c>
      <c r="F35" s="26" t="n">
        <v>2</v>
      </c>
      <c r="G35" s="7" t="n">
        <f aca="false">E35/(D35-C35*G33)</f>
        <v>-0</v>
      </c>
      <c r="H35" s="7" t="n">
        <f aca="false">((C35*H33)-F35)/(D35-C35*G33)</f>
        <v>2</v>
      </c>
      <c r="I35" s="7" t="n">
        <f aca="false">(G35*I36)+H35</f>
        <v>2</v>
      </c>
      <c r="J35" s="7" t="n">
        <f aca="false">((B35)^4)+1</f>
        <v>2</v>
      </c>
      <c r="K35" s="7" t="n">
        <f aca="false">ABS(I35-J35)</f>
        <v>0</v>
      </c>
    </row>
    <row r="36" customFormat="false" ht="15" hidden="false" customHeight="false" outlineLevel="0" collapsed="false">
      <c r="A36" s="4" t="n">
        <v>1</v>
      </c>
      <c r="B36" s="24" t="n">
        <v>-0.875</v>
      </c>
      <c r="C36" s="25" t="n">
        <v>800</v>
      </c>
      <c r="D36" s="25" t="n">
        <v>1792</v>
      </c>
      <c r="E36" s="25" t="n">
        <v>1248</v>
      </c>
      <c r="F36" s="26" t="n">
        <v>403</v>
      </c>
      <c r="G36" s="7" t="n">
        <f aca="false">E36/(D36-C36*G35)</f>
        <v>0.696428571428571</v>
      </c>
      <c r="H36" s="7" t="n">
        <f aca="false">((C36*H35)-F36)/(D36-C36*G35)</f>
        <v>0.66796875</v>
      </c>
      <c r="I36" s="7" t="n">
        <f aca="false">(G36*I37)+H36</f>
        <v>1.57729401094713</v>
      </c>
      <c r="J36" s="7" t="n">
        <f aca="false">((B36)^4)+1</f>
        <v>1.586181640625</v>
      </c>
      <c r="K36" s="7" t="n">
        <f aca="false">ABS(I36-J36)</f>
        <v>0.00888762967787038</v>
      </c>
    </row>
    <row r="37" customFormat="false" ht="15" hidden="false" customHeight="false" outlineLevel="0" collapsed="false">
      <c r="A37" s="4" t="n">
        <v>2</v>
      </c>
      <c r="B37" s="24" t="n">
        <v>-0.75</v>
      </c>
      <c r="C37" s="25" t="n">
        <v>208</v>
      </c>
      <c r="D37" s="25" t="n">
        <v>448</v>
      </c>
      <c r="E37" s="25" t="n">
        <v>304</v>
      </c>
      <c r="F37" s="26" t="n">
        <v>91</v>
      </c>
      <c r="G37" s="7" t="n">
        <f aca="false">E37/(D37-C37*G36)</f>
        <v>1.00282752120641</v>
      </c>
      <c r="H37" s="7" t="n">
        <f aca="false">((C37*H36)-F37)/(D37-C37*G36)</f>
        <v>0.158135014137606</v>
      </c>
      <c r="I37" s="7" t="n">
        <f aca="false">(G37*I38)+H37</f>
        <v>1.30569781059075</v>
      </c>
      <c r="J37" s="7" t="n">
        <f aca="false">((B37)^4)+1</f>
        <v>1.31640625</v>
      </c>
      <c r="K37" s="7" t="n">
        <f aca="false">ABS(I37-J37)</f>
        <v>0.0107084394092498</v>
      </c>
    </row>
    <row r="38" customFormat="false" ht="15" hidden="false" customHeight="false" outlineLevel="0" collapsed="false">
      <c r="A38" s="4" t="n">
        <v>3</v>
      </c>
      <c r="B38" s="24" t="n">
        <v>-0.625</v>
      </c>
      <c r="C38" s="25" t="n">
        <v>864</v>
      </c>
      <c r="D38" s="25" t="n">
        <v>1792</v>
      </c>
      <c r="E38" s="25" t="n">
        <v>1184</v>
      </c>
      <c r="F38" s="26" t="n">
        <v>331</v>
      </c>
      <c r="G38" s="7" t="n">
        <f aca="false">E38/(D38-C38*G37)</f>
        <v>1.27922966631908</v>
      </c>
      <c r="H38" s="7" t="n">
        <f aca="false">((C38*H37)-F38)/(D38-C38*G37)</f>
        <v>-0.210004724973931</v>
      </c>
      <c r="I38" s="7" t="n">
        <f aca="false">(G38*I39)+H38</f>
        <v>1.14432718706465</v>
      </c>
      <c r="J38" s="7" t="n">
        <f aca="false">((B38)^4)+1</f>
        <v>1.152587890625</v>
      </c>
      <c r="K38" s="7" t="n">
        <f aca="false">ABS(I38-J38)</f>
        <v>0.00826070356035169</v>
      </c>
    </row>
    <row r="39" customFormat="false" ht="15" hidden="false" customHeight="false" outlineLevel="0" collapsed="false">
      <c r="A39" s="4" t="n">
        <v>4</v>
      </c>
      <c r="B39" s="24" t="n">
        <v>-0.5</v>
      </c>
      <c r="C39" s="25" t="n">
        <v>56</v>
      </c>
      <c r="D39" s="25" t="n">
        <v>112</v>
      </c>
      <c r="E39" s="25" t="n">
        <v>72</v>
      </c>
      <c r="F39" s="26" t="n">
        <v>19</v>
      </c>
      <c r="G39" s="7" t="n">
        <f aca="false">E39/(D39-C39*G38)</f>
        <v>1.78380577783806</v>
      </c>
      <c r="H39" s="7" t="n">
        <f aca="false">((C39*H38)-F39)/(D39-C39*G38)</f>
        <v>-0.76208802387088</v>
      </c>
      <c r="I39" s="7" t="n">
        <f aca="false">(G39*I40)+H39</f>
        <v>1.05870896188297</v>
      </c>
      <c r="J39" s="7" t="n">
        <f aca="false">((B39)^4)+1</f>
        <v>1.0625</v>
      </c>
      <c r="K39" s="7" t="n">
        <f aca="false">ABS(I39-J39)</f>
        <v>0.00379103811702564</v>
      </c>
    </row>
    <row r="40" customFormat="false" ht="15" hidden="false" customHeight="false" outlineLevel="0" collapsed="false">
      <c r="A40" s="4" t="n">
        <v>5</v>
      </c>
      <c r="B40" s="24" t="n">
        <v>-0.375</v>
      </c>
      <c r="C40" s="25" t="n">
        <v>928</v>
      </c>
      <c r="D40" s="25" t="n">
        <v>1792</v>
      </c>
      <c r="E40" s="25" t="n">
        <v>1120</v>
      </c>
      <c r="F40" s="26" t="n">
        <v>283</v>
      </c>
      <c r="G40" s="7" t="n">
        <f aca="false">E40/(D40-C40*G39)</f>
        <v>8.19742693773826</v>
      </c>
      <c r="H40" s="7" t="n">
        <f aca="false">((C40*H39)-F40)/(D40-C40*G39)</f>
        <v>-7.24753315597205</v>
      </c>
      <c r="I40" s="7" t="n">
        <f aca="false">(G40*I41)+H40</f>
        <v>1.02073723965657</v>
      </c>
      <c r="J40" s="7" t="n">
        <f aca="false">((B40)^4)+1</f>
        <v>1.019775390625</v>
      </c>
      <c r="K40" s="7" t="n">
        <f aca="false">ABS(I40-J40)</f>
        <v>0.000961849031567041</v>
      </c>
    </row>
    <row r="41" customFormat="false" ht="15" hidden="false" customHeight="false" outlineLevel="0" collapsed="false">
      <c r="A41" s="4" t="n">
        <v>6</v>
      </c>
      <c r="B41" s="24" t="n">
        <v>-0.25</v>
      </c>
      <c r="C41" s="25" t="n">
        <v>240</v>
      </c>
      <c r="D41" s="25" t="n">
        <v>448</v>
      </c>
      <c r="E41" s="25" t="n">
        <v>272</v>
      </c>
      <c r="F41" s="26" t="n">
        <v>67</v>
      </c>
      <c r="G41" s="7" t="n">
        <f aca="false">E41/(D41-C41*G40)</f>
        <v>-0.179020099451894</v>
      </c>
      <c r="H41" s="7" t="n">
        <f aca="false">((C41*H40)-F41)/(D41-C41*G40)</f>
        <v>1.18890930952353</v>
      </c>
      <c r="I41" s="7" t="n">
        <f aca="false">(G41*I42)+H41</f>
        <v>1.00864215789033</v>
      </c>
      <c r="J41" s="7" t="n">
        <f aca="false">((B41)^4)+1</f>
        <v>1.00390625</v>
      </c>
      <c r="K41" s="7" t="n">
        <f aca="false">ABS(I41-J41)</f>
        <v>0.00473590789032841</v>
      </c>
    </row>
    <row r="42" customFormat="false" ht="15" hidden="false" customHeight="false" outlineLevel="0" collapsed="false">
      <c r="A42" s="4" t="n">
        <v>7</v>
      </c>
      <c r="B42" s="24" t="n">
        <v>-0.125</v>
      </c>
      <c r="C42" s="25" t="n">
        <v>992</v>
      </c>
      <c r="D42" s="25" t="n">
        <v>1792</v>
      </c>
      <c r="E42" s="25" t="n">
        <v>1056</v>
      </c>
      <c r="F42" s="26" t="n">
        <v>259</v>
      </c>
      <c r="G42" s="7" t="n">
        <f aca="false">E42/(D42-C42*G41)</f>
        <v>0.536152755240997</v>
      </c>
      <c r="H42" s="7" t="n">
        <f aca="false">((C42*H41)-F42)/(D42-C42*G41)</f>
        <v>0.467304869705523</v>
      </c>
      <c r="I42" s="7" t="n">
        <f aca="false">(G42*I43)+H42</f>
        <v>1.00696598976945</v>
      </c>
      <c r="J42" s="7" t="n">
        <f aca="false">((B42)^4)+1</f>
        <v>1.000244140625</v>
      </c>
      <c r="K42" s="7" t="n">
        <f aca="false">ABS(I42-J42)</f>
        <v>0.00672184914445229</v>
      </c>
    </row>
    <row r="43" customFormat="false" ht="15" hidden="false" customHeight="false" outlineLevel="0" collapsed="false">
      <c r="A43" s="4" t="n">
        <v>8</v>
      </c>
      <c r="B43" s="24" t="n">
        <v>0</v>
      </c>
      <c r="C43" s="25" t="n">
        <v>2176</v>
      </c>
      <c r="D43" s="25" t="n">
        <v>1858</v>
      </c>
      <c r="E43" s="25" t="n">
        <v>0</v>
      </c>
      <c r="F43" s="26" t="n">
        <v>321</v>
      </c>
      <c r="G43" s="7" t="n">
        <f aca="false">E43/(D43-C43*G42)</f>
        <v>0</v>
      </c>
      <c r="H43" s="7" t="n">
        <f aca="false">((C43*H42)-F43)/(D43-C43*G42)</f>
        <v>1.00654359189361</v>
      </c>
      <c r="I43" s="7" t="n">
        <f aca="false">(G43*I44)+H43</f>
        <v>1.00654359189361</v>
      </c>
      <c r="J43" s="7" t="n">
        <f aca="false">((B43)^4)+1</f>
        <v>1</v>
      </c>
      <c r="K43" s="7" t="n">
        <f aca="false">ABS(I43-J43)</f>
        <v>0.00654359189361053</v>
      </c>
    </row>
  </sheetData>
  <mergeCells count="4">
    <mergeCell ref="A1:K1"/>
    <mergeCell ref="A10:K10"/>
    <mergeCell ref="A24:K24"/>
    <mergeCell ref="A33:K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18" activeCellId="0" sqref="M18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1.86"/>
    <col collapsed="false" customWidth="true" hidden="false" outlineLevel="0" max="5" min="5" style="0" width="12.72"/>
    <col collapsed="false" customWidth="true" hidden="false" outlineLevel="0" max="6" min="6" style="0" width="12.29"/>
  </cols>
  <sheetData>
    <row r="1" customFormat="false" ht="15" hidden="false" customHeight="false" outlineLevel="0" collapsed="false">
      <c r="A1" s="37" t="s">
        <v>13</v>
      </c>
      <c r="B1" s="37"/>
      <c r="C1" s="37"/>
      <c r="D1" s="37"/>
      <c r="E1" s="37"/>
      <c r="F1" s="37"/>
    </row>
    <row r="2" customFormat="false" ht="15" hidden="false" customHeight="false" outlineLevel="0" collapsed="false">
      <c r="A2" s="38" t="s">
        <v>1</v>
      </c>
      <c r="B2" s="39"/>
      <c r="C2" s="39"/>
      <c r="D2" s="39"/>
      <c r="E2" s="39"/>
      <c r="F2" s="39"/>
    </row>
    <row r="3" customFormat="false" ht="15" hidden="false" customHeight="false" outlineLevel="0" collapsed="false">
      <c r="A3" s="40" t="n">
        <v>0</v>
      </c>
      <c r="B3" s="41" t="n">
        <v>-1</v>
      </c>
      <c r="C3" s="42" t="n">
        <v>2</v>
      </c>
      <c r="D3" s="42" t="n">
        <v>2</v>
      </c>
      <c r="E3" s="42" t="n">
        <f aca="false">ABS(C3-D3)</f>
        <v>0</v>
      </c>
      <c r="F3" s="42" t="n">
        <f aca="false">E3/ABS(D3)</f>
        <v>0</v>
      </c>
    </row>
    <row r="4" customFormat="false" ht="15" hidden="false" customHeight="false" outlineLevel="0" collapsed="false">
      <c r="A4" s="43" t="n">
        <v>1</v>
      </c>
      <c r="B4" s="5" t="n">
        <v>-0.75</v>
      </c>
      <c r="C4" s="26" t="n">
        <v>2.1195</v>
      </c>
      <c r="D4" s="26" t="n">
        <v>1.3039</v>
      </c>
      <c r="E4" s="26" t="n">
        <f aca="false">ABS(C4-D4)</f>
        <v>0.8156</v>
      </c>
      <c r="F4" s="26" t="n">
        <f aca="false">E4/ABS(D4)</f>
        <v>0.625508091111282</v>
      </c>
    </row>
    <row r="5" customFormat="false" ht="15" hidden="false" customHeight="false" outlineLevel="0" collapsed="false">
      <c r="A5" s="43" t="n">
        <v>2</v>
      </c>
      <c r="B5" s="5" t="n">
        <v>-0.5</v>
      </c>
      <c r="C5" s="26" t="n">
        <v>1.6664</v>
      </c>
      <c r="D5" s="26" t="n">
        <v>1.0573</v>
      </c>
      <c r="E5" s="26" t="n">
        <f aca="false">ABS(C5-D5)</f>
        <v>0.6091</v>
      </c>
      <c r="F5" s="26" t="n">
        <f aca="false">E5/ABS(D5)</f>
        <v>0.57609004066963</v>
      </c>
    </row>
    <row r="6" customFormat="false" ht="15" hidden="false" customHeight="false" outlineLevel="0" collapsed="false">
      <c r="A6" s="43" t="n">
        <v>3</v>
      </c>
      <c r="B6" s="5" t="n">
        <v>-0.25</v>
      </c>
      <c r="C6" s="26" t="n">
        <v>1.0115</v>
      </c>
      <c r="D6" s="26" t="n">
        <v>1.0085</v>
      </c>
      <c r="E6" s="26" t="n">
        <f aca="false">ABS(C6-D6)</f>
        <v>0.00300000000000011</v>
      </c>
      <c r="F6" s="26" t="n">
        <f aca="false">E6/ABS(D6)</f>
        <v>0.00297471492315331</v>
      </c>
    </row>
    <row r="7" customFormat="false" ht="15" hidden="false" customHeight="false" outlineLevel="0" collapsed="false">
      <c r="A7" s="43" t="n">
        <v>4</v>
      </c>
      <c r="B7" s="5" t="n">
        <v>0</v>
      </c>
      <c r="C7" s="26" t="n">
        <v>1.0122</v>
      </c>
      <c r="D7" s="26" t="n">
        <v>1.0075</v>
      </c>
      <c r="E7" s="26" t="n">
        <f aca="false">ABS(C7-D7)</f>
        <v>0.00469999999999993</v>
      </c>
      <c r="F7" s="26" t="n">
        <f aca="false">E7/ABS(D7)</f>
        <v>0.00466501240694782</v>
      </c>
    </row>
    <row r="8" customFormat="false" ht="15" hidden="false" customHeight="false" outlineLevel="0" collapsed="false">
      <c r="A8" s="44"/>
      <c r="B8" s="44"/>
      <c r="C8" s="44"/>
      <c r="D8" s="44"/>
      <c r="E8" s="45"/>
      <c r="F8" s="45"/>
    </row>
    <row r="9" customFormat="false" ht="15" hidden="false" customHeight="false" outlineLevel="0" collapsed="false">
      <c r="A9" s="34"/>
      <c r="B9" s="20"/>
      <c r="C9" s="46" t="n">
        <f aca="false">MAX(E3:E7)</f>
        <v>0.8156</v>
      </c>
      <c r="D9" s="23"/>
      <c r="E9" s="45"/>
      <c r="F9" s="45"/>
    </row>
    <row r="10" customFormat="false" ht="15" hidden="false" customHeight="false" outlineLevel="0" collapsed="false">
      <c r="C10" s="46"/>
    </row>
    <row r="11" customFormat="false" ht="15" hidden="false" customHeight="false" outlineLevel="0" collapsed="false">
      <c r="C11" s="46" t="n">
        <f aca="false">MAX(F3:F7)</f>
        <v>0.625508091111282</v>
      </c>
    </row>
    <row r="12" customFormat="false" ht="15" hidden="false" customHeight="false" outlineLevel="0" collapsed="false">
      <c r="C12" s="46"/>
    </row>
    <row r="16" customFormat="false" ht="15" hidden="false" customHeight="false" outlineLevel="0" collapsed="false">
      <c r="A16" s="47" t="s">
        <v>14</v>
      </c>
      <c r="B16" s="47"/>
      <c r="C16" s="47"/>
      <c r="D16" s="47"/>
      <c r="E16" s="47"/>
      <c r="F16" s="47"/>
    </row>
    <row r="17" customFormat="false" ht="15" hidden="false" customHeight="false" outlineLevel="0" collapsed="false">
      <c r="A17" s="38" t="s">
        <v>1</v>
      </c>
      <c r="B17" s="39"/>
      <c r="C17" s="39"/>
      <c r="D17" s="39"/>
      <c r="E17" s="39"/>
      <c r="F17" s="39"/>
      <c r="G17" s="34"/>
    </row>
    <row r="18" customFormat="false" ht="15" hidden="false" customHeight="false" outlineLevel="0" collapsed="false">
      <c r="A18" s="40" t="n">
        <v>0</v>
      </c>
      <c r="B18" s="41" t="n">
        <v>-1</v>
      </c>
      <c r="C18" s="42" t="n">
        <v>2</v>
      </c>
      <c r="D18" s="48" t="n">
        <v>2</v>
      </c>
      <c r="E18" s="42" t="n">
        <f aca="false">ABS(C18-D18)</f>
        <v>0</v>
      </c>
      <c r="F18" s="42" t="n">
        <f aca="false">E18/ABS(D18)</f>
        <v>0</v>
      </c>
      <c r="G18" s="34"/>
    </row>
    <row r="19" customFormat="false" ht="15" hidden="false" customHeight="false" outlineLevel="0" collapsed="false">
      <c r="A19" s="43" t="n">
        <v>1</v>
      </c>
      <c r="B19" s="5" t="n">
        <v>-0.75</v>
      </c>
      <c r="C19" s="26" t="n">
        <v>5.5995</v>
      </c>
      <c r="D19" s="7" t="n">
        <v>1.3057</v>
      </c>
      <c r="E19" s="26" t="n">
        <f aca="false">ABS(C19-D19)</f>
        <v>4.2938</v>
      </c>
      <c r="F19" s="26" t="n">
        <f aca="false">E19/ABS(D19)</f>
        <v>3.28850425059355</v>
      </c>
    </row>
    <row r="20" customFormat="false" ht="15" hidden="false" customHeight="false" outlineLevel="0" collapsed="false">
      <c r="A20" s="43" t="n">
        <v>2</v>
      </c>
      <c r="B20" s="5" t="n">
        <v>-0.5</v>
      </c>
      <c r="C20" s="26" t="n">
        <v>4.1974</v>
      </c>
      <c r="D20" s="7" t="n">
        <v>1.0587</v>
      </c>
      <c r="E20" s="26" t="n">
        <f aca="false">ABS(C20-D20)</f>
        <v>3.1387</v>
      </c>
      <c r="F20" s="26" t="n">
        <f aca="false">E20/ABS(D20)</f>
        <v>2.96467365637102</v>
      </c>
    </row>
    <row r="21" customFormat="false" ht="15" hidden="false" customHeight="false" outlineLevel="0" collapsed="false">
      <c r="A21" s="43" t="n">
        <v>3</v>
      </c>
      <c r="B21" s="5" t="n">
        <v>-0.25</v>
      </c>
      <c r="C21" s="49" t="n">
        <v>0.9482</v>
      </c>
      <c r="D21" s="7" t="n">
        <v>1.0086</v>
      </c>
      <c r="E21" s="26" t="n">
        <f aca="false">ABS(C21-D21)</f>
        <v>0.0603999999999999</v>
      </c>
      <c r="F21" s="26" t="n">
        <f aca="false">E21/ABS(D21)</f>
        <v>0.0598849890937933</v>
      </c>
    </row>
    <row r="22" customFormat="false" ht="15" hidden="false" customHeight="false" outlineLevel="0" collapsed="false">
      <c r="A22" s="43" t="n">
        <v>4</v>
      </c>
      <c r="B22" s="5" t="n">
        <v>0</v>
      </c>
      <c r="C22" s="50" t="n">
        <v>-0.1842</v>
      </c>
      <c r="D22" s="13" t="n">
        <v>1.0065</v>
      </c>
      <c r="E22" s="51" t="n">
        <f aca="false">ABS(C22-D22)</f>
        <v>1.1907</v>
      </c>
      <c r="F22" s="51" t="n">
        <f aca="false">E22/ABS(D22)</f>
        <v>1.18301043219076</v>
      </c>
    </row>
    <row r="23" customFormat="false" ht="15" hidden="false" customHeight="false" outlineLevel="0" collapsed="false">
      <c r="A23" s="44"/>
      <c r="B23" s="44"/>
      <c r="C23" s="44"/>
    </row>
    <row r="24" customFormat="false" ht="15" hidden="false" customHeight="false" outlineLevel="0" collapsed="false">
      <c r="A24" s="34"/>
      <c r="B24" s="20"/>
      <c r="C24" s="46" t="n">
        <f aca="false">MAX(E18:E22)</f>
        <v>4.2938</v>
      </c>
    </row>
    <row r="25" customFormat="false" ht="15" hidden="false" customHeight="false" outlineLevel="0" collapsed="false">
      <c r="C25" s="46"/>
    </row>
    <row r="26" customFormat="false" ht="15" hidden="false" customHeight="false" outlineLevel="0" collapsed="false">
      <c r="C26" s="46" t="n">
        <f aca="false">MAX(F18:F22)</f>
        <v>3.28850425059355</v>
      </c>
    </row>
    <row r="27" customFormat="false" ht="15" hidden="false" customHeight="false" outlineLevel="0" collapsed="false">
      <c r="C27" s="46"/>
    </row>
  </sheetData>
  <mergeCells count="8">
    <mergeCell ref="A1:F1"/>
    <mergeCell ref="E8:F8"/>
    <mergeCell ref="C9:C10"/>
    <mergeCell ref="E9:F9"/>
    <mergeCell ref="C11:C12"/>
    <mergeCell ref="A16:F16"/>
    <mergeCell ref="C24:C25"/>
    <mergeCell ref="C26:C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T17" activeCellId="0" sqref="T17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0.14"/>
    <col collapsed="false" customWidth="true" hidden="false" outlineLevel="0" max="3" min="3" style="0" width="9.86"/>
    <col collapsed="false" customWidth="true" hidden="false" outlineLevel="0" max="6" min="4" style="0" width="10.29"/>
    <col collapsed="false" customWidth="true" hidden="false" outlineLevel="0" max="7" min="7" style="0" width="9.14"/>
  </cols>
  <sheetData>
    <row r="2" customFormat="false" ht="15" hidden="false" customHeight="true" outlineLevel="0" collapsed="false">
      <c r="A2" s="43"/>
      <c r="B2" s="43"/>
      <c r="C2" s="43"/>
      <c r="D2" s="43"/>
      <c r="E2" s="43"/>
      <c r="F2" s="43"/>
      <c r="G2" s="43"/>
      <c r="I2" s="52" t="s">
        <v>1</v>
      </c>
      <c r="J2" s="53"/>
      <c r="K2" s="54"/>
    </row>
    <row r="3" customFormat="false" ht="15" hidden="false" customHeight="false" outlineLevel="0" collapsed="false">
      <c r="A3" s="26" t="n">
        <v>-0.5</v>
      </c>
      <c r="B3" s="26" t="n">
        <f aca="false">(K6-K4)/((0.25)*2)</f>
        <v>-0.7502</v>
      </c>
      <c r="C3" s="26" t="n">
        <f aca="false">(K14-K12)/((0.125)*2)</f>
        <v>-0.5648</v>
      </c>
      <c r="D3" s="26" t="n">
        <f aca="false">ABS(A3-B3)</f>
        <v>0.2502</v>
      </c>
      <c r="E3" s="26" t="n">
        <f aca="false">ABS(A3-C3)</f>
        <v>0.0648</v>
      </c>
      <c r="F3" s="26" t="n">
        <f aca="false">D3/ABS(A3)</f>
        <v>0.5004</v>
      </c>
      <c r="G3" s="26" t="n">
        <f aca="false">E3/ABS(A3)</f>
        <v>0.1296</v>
      </c>
      <c r="I3" s="4" t="n">
        <v>0</v>
      </c>
      <c r="J3" s="5" t="n">
        <v>-1</v>
      </c>
      <c r="K3" s="26" t="n">
        <v>2.1316</v>
      </c>
    </row>
    <row r="4" customFormat="false" ht="15" hidden="false" customHeight="false" outlineLevel="0" collapsed="false">
      <c r="I4" s="55" t="n">
        <v>1</v>
      </c>
      <c r="J4" s="56" t="n">
        <v>-0.75</v>
      </c>
      <c r="K4" s="57" t="n">
        <v>1.4012</v>
      </c>
    </row>
    <row r="5" customFormat="false" ht="15" hidden="false" customHeight="false" outlineLevel="0" collapsed="false">
      <c r="A5" s="43"/>
      <c r="B5" s="43"/>
      <c r="C5" s="43"/>
      <c r="D5" s="43"/>
      <c r="E5" s="43"/>
      <c r="F5" s="43"/>
      <c r="G5" s="43"/>
      <c r="I5" s="58" t="n">
        <v>2</v>
      </c>
      <c r="J5" s="59" t="n">
        <v>-0.5</v>
      </c>
      <c r="K5" s="60" t="n">
        <v>1.1112</v>
      </c>
    </row>
    <row r="6" customFormat="false" ht="15" hidden="false" customHeight="false" outlineLevel="0" collapsed="false">
      <c r="A6" s="26" t="n">
        <v>3</v>
      </c>
      <c r="B6" s="26" t="n">
        <f aca="false">(K4-(2*K5)+K6)/((0.25)^2)</f>
        <v>3.2784</v>
      </c>
      <c r="C6" s="26" t="n">
        <f aca="false">(K12-(2*K13)+K14)/((0.125)^2)</f>
        <v>3.072</v>
      </c>
      <c r="D6" s="26" t="n">
        <f aca="false">ABS(A6-B6)</f>
        <v>0.278400000000001</v>
      </c>
      <c r="E6" s="26" t="n">
        <f aca="false">ABS(A6-C6)</f>
        <v>0.0720000000000027</v>
      </c>
      <c r="F6" s="26" t="n">
        <f aca="false">D6/ABS(A6)</f>
        <v>0.0928000000000004</v>
      </c>
      <c r="G6" s="26" t="n">
        <f aca="false">E6/ABS(A6)</f>
        <v>0.0240000000000009</v>
      </c>
      <c r="I6" s="55" t="n">
        <v>3</v>
      </c>
      <c r="J6" s="56" t="n">
        <v>-0.25</v>
      </c>
      <c r="K6" s="57" t="n">
        <v>1.0261</v>
      </c>
    </row>
    <row r="7" customFormat="false" ht="15" hidden="false" customHeight="false" outlineLevel="0" collapsed="false">
      <c r="I7" s="4" t="n">
        <v>4</v>
      </c>
      <c r="J7" s="5" t="n">
        <v>0</v>
      </c>
      <c r="K7" s="26" t="n">
        <v>1</v>
      </c>
    </row>
    <row r="8" customFormat="false" ht="15" hidden="false" customHeight="false" outlineLevel="0" collapsed="false">
      <c r="H8" s="34"/>
      <c r="I8" s="61"/>
      <c r="J8" s="61"/>
      <c r="K8" s="61"/>
      <c r="L8" s="34"/>
    </row>
    <row r="9" customFormat="false" ht="15" hidden="false" customHeight="false" outlineLevel="0" collapsed="false">
      <c r="I9" s="4" t="n">
        <v>0</v>
      </c>
      <c r="J9" s="24" t="n">
        <v>-1</v>
      </c>
      <c r="K9" s="26" t="n">
        <v>2.0359</v>
      </c>
    </row>
    <row r="10" customFormat="false" ht="15" hidden="false" customHeight="false" outlineLevel="0" collapsed="false">
      <c r="I10" s="4" t="n">
        <v>1</v>
      </c>
      <c r="J10" s="24" t="n">
        <v>-0.875</v>
      </c>
      <c r="K10" s="26" t="n">
        <v>1.615</v>
      </c>
    </row>
    <row r="11" customFormat="false" ht="15" hidden="false" customHeight="false" outlineLevel="0" collapsed="false">
      <c r="I11" s="4" t="n">
        <v>2</v>
      </c>
      <c r="J11" s="24" t="n">
        <v>-0.75</v>
      </c>
      <c r="K11" s="26" t="n">
        <v>1.3391</v>
      </c>
    </row>
    <row r="12" customFormat="false" ht="15" hidden="false" customHeight="false" outlineLevel="0" collapsed="false">
      <c r="I12" s="55" t="n">
        <v>3</v>
      </c>
      <c r="J12" s="62" t="n">
        <v>-0.625</v>
      </c>
      <c r="K12" s="57" t="n">
        <v>1.17</v>
      </c>
    </row>
    <row r="13" customFormat="false" ht="15" hidden="false" customHeight="false" outlineLevel="0" collapsed="false">
      <c r="I13" s="58" t="n">
        <v>4</v>
      </c>
      <c r="J13" s="63" t="n">
        <v>-0.5</v>
      </c>
      <c r="K13" s="60" t="n">
        <v>1.0754</v>
      </c>
    </row>
    <row r="14" customFormat="false" ht="15" hidden="false" customHeight="false" outlineLevel="0" collapsed="false">
      <c r="I14" s="55" t="n">
        <v>5</v>
      </c>
      <c r="J14" s="62" t="n">
        <v>-0.375</v>
      </c>
      <c r="K14" s="57" t="n">
        <v>1.0288</v>
      </c>
    </row>
    <row r="15" customFormat="false" ht="15" hidden="false" customHeight="false" outlineLevel="0" collapsed="false">
      <c r="I15" s="4" t="n">
        <v>6</v>
      </c>
      <c r="J15" s="24" t="n">
        <v>-0.25</v>
      </c>
      <c r="K15" s="26" t="n">
        <v>1.0097</v>
      </c>
    </row>
    <row r="16" customFormat="false" ht="15" hidden="false" customHeight="false" outlineLevel="0" collapsed="false">
      <c r="I16" s="4" t="n">
        <v>7</v>
      </c>
      <c r="J16" s="24" t="n">
        <v>-0.125</v>
      </c>
      <c r="K16" s="26" t="n">
        <v>1.0032</v>
      </c>
    </row>
    <row r="17" customFormat="false" ht="15" hidden="false" customHeight="false" outlineLevel="0" collapsed="false">
      <c r="I17" s="4" t="n">
        <v>8</v>
      </c>
      <c r="J17" s="24" t="n">
        <v>0</v>
      </c>
      <c r="K17" s="26" t="n">
        <v>1</v>
      </c>
    </row>
  </sheetData>
  <mergeCells count="1">
    <mergeCell ref="I8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KonKinKanGor</dc:creator>
  <dc:description/>
  <dc:language>ru-RU</dc:language>
  <cp:lastModifiedBy/>
  <dcterms:modified xsi:type="dcterms:W3CDTF">2024-12-10T03:32:00Z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